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<sst xmlns="http://schemas.openxmlformats.org/spreadsheetml/2006/main" count="98" uniqueCount="43">
  <si>
    <t>JULI</t>
  </si>
  <si>
    <t>MED MEK</t>
  </si>
  <si>
    <t>HARI</t>
  </si>
  <si>
    <t>PAKET</t>
  </si>
  <si>
    <t>RUTE</t>
  </si>
  <si>
    <t>LAMA PROG</t>
  </si>
  <si>
    <t xml:space="preserve">TANGGAL </t>
  </si>
  <si>
    <t>JUMLAH</t>
  </si>
  <si>
    <t>HOTEL</t>
  </si>
  <si>
    <t>STATUS</t>
  </si>
  <si>
    <t>RESV</t>
  </si>
  <si>
    <t>VENDOR</t>
  </si>
  <si>
    <t>TYPE</t>
  </si>
  <si>
    <t>ROOM</t>
  </si>
  <si>
    <t>MED</t>
  </si>
  <si>
    <t>MEK</t>
  </si>
  <si>
    <t>06 JUL CGKJEDJED SV</t>
  </si>
  <si>
    <t>9D</t>
  </si>
  <si>
    <t>M</t>
  </si>
  <si>
    <t>06-10 JUL</t>
  </si>
  <si>
    <t>AL MARWA RAYHAN/MOVENPICK</t>
  </si>
  <si>
    <t>MARWA</t>
  </si>
  <si>
    <t>QUAD</t>
  </si>
  <si>
    <t>10-13 JUL</t>
  </si>
  <si>
    <t>MAYSAN HARITHIA</t>
  </si>
  <si>
    <t>MAYSAN</t>
  </si>
  <si>
    <t>TRIPLE</t>
  </si>
  <si>
    <t>DOUBLE</t>
  </si>
  <si>
    <t>S</t>
  </si>
  <si>
    <t>ANJUM</t>
  </si>
  <si>
    <t>GOLDEN TULIP ALLOTMENT</t>
  </si>
  <si>
    <t>ASTON</t>
  </si>
  <si>
    <t>SF</t>
  </si>
  <si>
    <t>MAYSAN MAQAM ALLOTMENT</t>
  </si>
  <si>
    <t>ODST</t>
  </si>
  <si>
    <t>GETWAY</t>
  </si>
  <si>
    <t>SAF</t>
  </si>
  <si>
    <t>WAHAT AJYAD</t>
  </si>
  <si>
    <t>MALIKA</t>
  </si>
  <si>
    <t>MAYSAN TAQWA</t>
  </si>
  <si>
    <t>12 JUL KNOJEDJED SV</t>
  </si>
  <si>
    <t>12-16 JUL</t>
  </si>
  <si>
    <t>16-19 JUL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</si>
</sst>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28.0"/>
      <color theme="1"/>
      <name val="Calibri"/>
    </font>
    <font>
      <sz val="11.0"/>
      <color theme="1"/>
      <name val="Calibri"/>
    </font>
    <font>
      <b/>
      <sz val="11.0"/>
      <color theme="1"/>
      <name val="Calibri"/>
    </font>
    <font>
      <sz val="11.0"/>
      <color rgb="FF262626"/>
      <name val="Calibri"/>
    </font>
    <font/>
  </fonts>
  <fills count="15">
    <fill>
      <patternFill patternType="none"/>
    </fill>
    <fill>
      <patternFill patternType="lightGray"/>
    </fill>
    <fill>
      <patternFill patternType="solid">
        <fgColor rgb="FFCCFCD2"/>
        <bgColor rgb="FFCCFCD2"/>
      </patternFill>
    </fill>
    <fill>
      <patternFill patternType="solid">
        <fgColor rgb="FFCCFFCC"/>
        <bgColor rgb="FFCCFFCC"/>
      </patternFill>
    </fill>
    <fill>
      <patternFill patternType="solid">
        <fgColor rgb="FFFFFFFF"/>
        <bgColor rgb="FFFFFFFF"/>
      </patternFill>
    </fill>
    <fill>
      <patternFill patternType="solid">
        <fgColor rgb="FF00CCFF"/>
        <bgColor rgb="FF00CCFF"/>
      </patternFill>
    </fill>
    <fill>
      <patternFill patternType="solid">
        <fgColor rgb="FFFFFF66"/>
        <bgColor rgb="FFFFFF66"/>
      </patternFill>
    </fill>
    <fill>
      <patternFill patternType="solid">
        <fgColor rgb="FFFFE598"/>
        <bgColor rgb="FFFFE598"/>
      </patternFill>
    </fill>
    <fill>
      <patternFill patternType="solid">
        <fgColor rgb="FFE2EFD9"/>
        <bgColor rgb="FFE2EFD9"/>
      </patternFill>
    </fill>
    <fill>
      <patternFill patternType="solid">
        <fgColor rgb="FFBDD6EE"/>
        <bgColor rgb="FFBDD6EE"/>
      </patternFill>
    </fill>
    <fill>
      <patternFill patternType="solid">
        <fgColor rgb="FFFFC000"/>
        <bgColor rgb="FFFFC000"/>
      </patternFill>
    </fill>
    <fill>
      <patternFill patternType="solid">
        <fgColor rgb="FFF7CAAC"/>
        <bgColor rgb="FFF7CAAC"/>
      </patternFill>
    </fill>
    <fill>
      <patternFill patternType="solid">
        <fgColor rgb="FFFF6699"/>
        <bgColor rgb="FFFF6699"/>
      </patternFill>
    </fill>
    <fill>
      <patternFill patternType="solid">
        <fgColor rgb="FFFFFFCC"/>
        <bgColor rgb="FFFFFFCC"/>
      </patternFill>
    </fill>
    <fill>
      <patternFill patternType="solid">
        <fgColor rgb="FFB6D7A8"/>
        <bgColor rgb="FFB6D7A8"/>
      </patternFill>
    </fill>
  </fills>
  <borders count="30">
    <border/>
    <border>
      <left/>
      <right/>
      <top style="medium">
        <color rgb="FF000000"/>
      </top>
      <bottom/>
    </border>
    <border>
      <left/>
      <right/>
      <top/>
      <bottom/>
    </border>
    <border>
      <left style="medium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/>
      <top style="medium">
        <color rgb="FF000000"/>
      </top>
      <bottom/>
    </border>
    <border>
      <left/>
      <right style="thin">
        <color rgb="FF000000"/>
      </right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/>
      <bottom style="medium">
        <color rgb="FF000000"/>
      </bottom>
    </border>
  </borders>
  <cellStyleXfs count="1">
    <xf borderId="0" fillId="0" fontId="0" numFmtId="0" applyAlignment="1" applyFont="1"/>
  </cellStyleXfs>
  <cellXfs count="81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2" numFmtId="0" xfId="0" applyAlignment="1" applyBorder="1" applyFont="1">
      <alignment vertical="bottom"/>
    </xf>
    <xf borderId="1" fillId="3" fontId="2" numFmtId="0" xfId="0" applyAlignment="1" applyBorder="1" applyFill="1" applyFont="1">
      <alignment vertical="bottom"/>
    </xf>
    <xf borderId="2" fillId="3" fontId="2" numFmtId="0" xfId="0" applyAlignment="1" applyBorder="1" applyFont="1">
      <alignment vertical="bottom"/>
    </xf>
    <xf borderId="3" fillId="3" fontId="3" numFmtId="0" xfId="0" applyAlignment="1" applyBorder="1" applyFont="1">
      <alignment horizontal="center"/>
    </xf>
    <xf borderId="4" fillId="3" fontId="3" numFmtId="0" xfId="0" applyAlignment="1" applyBorder="1" applyFont="1">
      <alignment horizontal="center"/>
    </xf>
    <xf borderId="5" fillId="3" fontId="3" numFmtId="0" xfId="0" applyAlignment="1" applyBorder="1" applyFont="1">
      <alignment horizontal="center"/>
    </xf>
    <xf borderId="1" fillId="3" fontId="2" numFmtId="0" xfId="0" applyBorder="1" applyFont="1"/>
    <xf borderId="6" fillId="3" fontId="2" numFmtId="0" xfId="0" applyBorder="1" applyFont="1"/>
    <xf borderId="7" fillId="3" fontId="2" numFmtId="0" xfId="0" applyBorder="1" applyFont="1"/>
    <xf borderId="8" fillId="4" fontId="3" numFmtId="0" xfId="0" applyAlignment="1" applyBorder="1" applyFill="1" applyFont="1">
      <alignment horizontal="center" shrinkToFit="0" vertical="top" wrapText="1"/>
    </xf>
    <xf borderId="4" fillId="4" fontId="3" numFmtId="0" xfId="0" applyAlignment="1" applyBorder="1" applyFont="1">
      <alignment horizontal="center"/>
    </xf>
    <xf borderId="4" fillId="5" fontId="2" numFmtId="0" xfId="0" applyAlignment="1" applyBorder="1" applyFill="1" applyFont="1">
      <alignment horizontal="center"/>
    </xf>
    <xf borderId="9" fillId="0" fontId="2" numFmtId="0" xfId="0" applyAlignment="1" applyBorder="1" applyFont="1">
      <alignment horizontal="center"/>
    </xf>
    <xf borderId="10" fillId="0" fontId="2" numFmtId="0" xfId="0" applyAlignment="1" applyBorder="1" applyFont="1">
      <alignment horizontal="center"/>
    </xf>
    <xf borderId="4" fillId="6" fontId="2" numFmtId="0" xfId="0" applyAlignment="1" applyBorder="1" applyFill="1" applyFont="1">
      <alignment horizontal="center"/>
    </xf>
    <xf borderId="11" fillId="0" fontId="2" numFmtId="0" xfId="0" applyAlignment="1" applyBorder="1" applyFont="1">
      <alignment horizontal="center"/>
    </xf>
    <xf borderId="9" fillId="0" fontId="2" numFmtId="0" xfId="0" applyBorder="1" applyFont="1"/>
    <xf borderId="9" fillId="0" fontId="2" numFmtId="0" xfId="0" applyAlignment="1" applyBorder="1" applyFont="1">
      <alignment readingOrder="0"/>
    </xf>
    <xf borderId="9" fillId="7" fontId="2" numFmtId="0" xfId="0" applyAlignment="1" applyBorder="1" applyFill="1" applyFont="1">
      <alignment horizontal="center"/>
    </xf>
    <xf borderId="4" fillId="8" fontId="4" numFmtId="0" xfId="0" applyAlignment="1" applyBorder="1" applyFill="1" applyFont="1">
      <alignment horizontal="center"/>
    </xf>
    <xf borderId="9" fillId="7" fontId="2" numFmtId="0" xfId="0" applyAlignment="1" applyBorder="1" applyFont="1">
      <alignment horizontal="center" readingOrder="0"/>
    </xf>
    <xf borderId="12" fillId="8" fontId="4" numFmtId="0" xfId="0" applyAlignment="1" applyBorder="1" applyFont="1">
      <alignment horizontal="center"/>
    </xf>
    <xf borderId="13" fillId="0" fontId="5" numFmtId="0" xfId="0" applyBorder="1" applyFont="1"/>
    <xf borderId="14" fillId="4" fontId="2" numFmtId="0" xfId="0" applyBorder="1" applyFont="1"/>
    <xf borderId="14" fillId="5" fontId="2" numFmtId="0" xfId="0" applyBorder="1" applyFont="1"/>
    <xf borderId="15" fillId="0" fontId="2" numFmtId="0" xfId="0" applyAlignment="1" applyBorder="1" applyFont="1">
      <alignment horizontal="center"/>
    </xf>
    <xf borderId="16" fillId="0" fontId="2" numFmtId="0" xfId="0" applyAlignment="1" applyBorder="1" applyFont="1">
      <alignment horizontal="center"/>
    </xf>
    <xf borderId="14" fillId="6" fontId="2" numFmtId="0" xfId="0" applyBorder="1" applyFont="1"/>
    <xf borderId="17" fillId="9" fontId="2" numFmtId="0" xfId="0" applyAlignment="1" applyBorder="1" applyFill="1" applyFont="1">
      <alignment horizontal="center"/>
    </xf>
    <xf borderId="15" fillId="9" fontId="2" numFmtId="0" xfId="0" applyBorder="1" applyFont="1"/>
    <xf borderId="2" fillId="9" fontId="2" numFmtId="0" xfId="0" applyAlignment="1" applyBorder="1" applyFont="1">
      <alignment horizontal="center" vertical="bottom"/>
    </xf>
    <xf borderId="15" fillId="9" fontId="2" numFmtId="0" xfId="0" applyAlignment="1" applyBorder="1" applyFont="1">
      <alignment horizontal="center"/>
    </xf>
    <xf borderId="15" fillId="7" fontId="2" numFmtId="0" xfId="0" applyAlignment="1" applyBorder="1" applyFont="1">
      <alignment horizontal="center"/>
    </xf>
    <xf borderId="14" fillId="8" fontId="2" numFmtId="0" xfId="0" applyBorder="1" applyFont="1"/>
    <xf borderId="18" fillId="8" fontId="2" numFmtId="0" xfId="0" applyBorder="1" applyFont="1"/>
    <xf borderId="19" fillId="5" fontId="2" numFmtId="0" xfId="0" applyBorder="1" applyFont="1"/>
    <xf borderId="15" fillId="0" fontId="2" numFmtId="0" xfId="0" applyBorder="1" applyFont="1"/>
    <xf borderId="16" fillId="0" fontId="2" numFmtId="0" xfId="0" applyBorder="1" applyFont="1"/>
    <xf borderId="20" fillId="0" fontId="2" numFmtId="0" xfId="0" applyBorder="1" applyFont="1"/>
    <xf borderId="19" fillId="8" fontId="2" numFmtId="0" xfId="0" applyBorder="1" applyFont="1"/>
    <xf borderId="21" fillId="8" fontId="2" numFmtId="0" xfId="0" applyBorder="1" applyFont="1"/>
    <xf borderId="22" fillId="10" fontId="2" numFmtId="0" xfId="0" applyAlignment="1" applyBorder="1" applyFill="1" applyFont="1">
      <alignment horizontal="center"/>
    </xf>
    <xf borderId="22" fillId="6" fontId="2" numFmtId="0" xfId="0" applyAlignment="1" applyBorder="1" applyFont="1">
      <alignment horizontal="center"/>
    </xf>
    <xf borderId="20" fillId="0" fontId="2" numFmtId="0" xfId="0" applyAlignment="1" applyBorder="1" applyFont="1">
      <alignment horizontal="center"/>
    </xf>
    <xf borderId="15" fillId="0" fontId="2" numFmtId="0" xfId="0" applyAlignment="1" applyBorder="1" applyFont="1">
      <alignment readingOrder="0"/>
    </xf>
    <xf borderId="22" fillId="8" fontId="4" numFmtId="0" xfId="0" applyAlignment="1" applyBorder="1" applyFont="1">
      <alignment horizontal="center"/>
    </xf>
    <xf borderId="15" fillId="7" fontId="2" numFmtId="0" xfId="0" applyAlignment="1" applyBorder="1" applyFont="1">
      <alignment horizontal="center" readingOrder="0"/>
    </xf>
    <xf borderId="23" fillId="8" fontId="4" numFmtId="0" xfId="0" applyAlignment="1" applyBorder="1" applyFont="1">
      <alignment horizontal="center"/>
    </xf>
    <xf borderId="14" fillId="10" fontId="2" numFmtId="0" xfId="0" applyBorder="1" applyFont="1"/>
    <xf borderId="17" fillId="11" fontId="2" numFmtId="0" xfId="0" applyAlignment="1" applyBorder="1" applyFill="1" applyFont="1">
      <alignment horizontal="center"/>
    </xf>
    <xf borderId="15" fillId="11" fontId="2" numFmtId="0" xfId="0" applyBorder="1" applyFont="1"/>
    <xf borderId="15" fillId="11" fontId="2" numFmtId="0" xfId="0" applyAlignment="1" applyBorder="1" applyFont="1">
      <alignment readingOrder="0"/>
    </xf>
    <xf borderId="19" fillId="10" fontId="2" numFmtId="0" xfId="0" applyBorder="1" applyFont="1"/>
    <xf borderId="19" fillId="6" fontId="2" numFmtId="0" xfId="0" applyBorder="1" applyFont="1"/>
    <xf borderId="22" fillId="12" fontId="2" numFmtId="0" xfId="0" applyAlignment="1" applyBorder="1" applyFill="1" applyFont="1">
      <alignment horizontal="center"/>
    </xf>
    <xf borderId="17" fillId="13" fontId="2" numFmtId="0" xfId="0" applyAlignment="1" applyBorder="1" applyFill="1" applyFont="1">
      <alignment horizontal="center"/>
    </xf>
    <xf borderId="15" fillId="13" fontId="2" numFmtId="0" xfId="0" applyBorder="1" applyFont="1"/>
    <xf borderId="15" fillId="13" fontId="2" numFmtId="0" xfId="0" applyAlignment="1" applyBorder="1" applyFont="1">
      <alignment readingOrder="0"/>
    </xf>
    <xf borderId="14" fillId="12" fontId="2" numFmtId="0" xfId="0" applyBorder="1" applyFont="1"/>
    <xf borderId="15" fillId="0" fontId="2" numFmtId="0" xfId="0" applyAlignment="1" applyBorder="1" applyFont="1">
      <alignment horizontal="center" readingOrder="0"/>
    </xf>
    <xf borderId="19" fillId="12" fontId="2" numFmtId="0" xfId="0" applyBorder="1" applyFont="1"/>
    <xf borderId="22" fillId="14" fontId="2" numFmtId="0" xfId="0" applyAlignment="1" applyBorder="1" applyFill="1" applyFont="1">
      <alignment horizontal="center" shrinkToFit="0" wrapText="1"/>
    </xf>
    <xf borderId="14" fillId="14" fontId="2" numFmtId="0" xfId="0" applyBorder="1" applyFont="1"/>
    <xf borderId="17" fillId="7" fontId="2" numFmtId="0" xfId="0" applyAlignment="1" applyBorder="1" applyFont="1">
      <alignment horizontal="center"/>
    </xf>
    <xf borderId="15" fillId="7" fontId="2" numFmtId="0" xfId="0" applyBorder="1" applyFont="1"/>
    <xf borderId="24" fillId="0" fontId="5" numFmtId="0" xfId="0" applyBorder="1" applyFont="1"/>
    <xf borderId="25" fillId="4" fontId="2" numFmtId="0" xfId="0" applyBorder="1" applyFont="1"/>
    <xf borderId="25" fillId="14" fontId="2" numFmtId="0" xfId="0" applyBorder="1" applyFont="1"/>
    <xf borderId="26" fillId="0" fontId="2" numFmtId="0" xfId="0" applyBorder="1" applyFont="1"/>
    <xf borderId="27" fillId="0" fontId="2" numFmtId="0" xfId="0" applyBorder="1" applyFont="1"/>
    <xf borderId="25" fillId="6" fontId="2" numFmtId="0" xfId="0" applyBorder="1" applyFont="1"/>
    <xf borderId="28" fillId="0" fontId="2" numFmtId="0" xfId="0" applyBorder="1" applyFont="1"/>
    <xf borderId="26" fillId="0" fontId="2" numFmtId="0" xfId="0" applyAlignment="1" applyBorder="1" applyFont="1">
      <alignment horizontal="center"/>
    </xf>
    <xf borderId="26" fillId="7" fontId="2" numFmtId="0" xfId="0" applyAlignment="1" applyBorder="1" applyFont="1">
      <alignment horizontal="center"/>
    </xf>
    <xf borderId="25" fillId="8" fontId="2" numFmtId="0" xfId="0" applyBorder="1" applyFont="1"/>
    <xf borderId="29" fillId="8" fontId="2" numFmtId="0" xfId="0" applyBorder="1" applyFont="1"/>
    <xf borderId="8" fillId="4" fontId="3" numFmtId="0" xfId="0" applyAlignment="1" applyBorder="1" applyFont="1">
      <alignment horizontal="center" readingOrder="0" shrinkToFit="0" vertical="top" wrapText="1"/>
    </xf>
    <xf borderId="10" fillId="0" fontId="2" numFmtId="0" xfId="0" applyAlignment="1" applyBorder="1" applyFont="1">
      <alignment horizontal="center" readingOrder="0"/>
    </xf>
    <xf borderId="16" fillId="0" fontId="2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4.75"/>
    <col customWidth="1" min="3" max="3" width="5.75"/>
    <col customWidth="1" min="4" max="4" width="5.0"/>
    <col customWidth="1" min="5" max="5" width="10.38"/>
    <col customWidth="1" min="6" max="6" width="8.75"/>
    <col customWidth="1" min="7" max="7" width="7.5"/>
    <col customWidth="1" min="8" max="8" width="26.0"/>
    <col customWidth="1" min="9" max="9" width="6.5"/>
    <col customWidth="1" min="10" max="10" width="8.63"/>
    <col customWidth="1" min="11" max="11" width="7.63"/>
    <col customWidth="1" min="12" max="12" width="7.13"/>
    <col customWidth="1" min="13" max="13" width="6.13"/>
    <col customWidth="1" min="14" max="14" width="4.63"/>
    <col customWidth="1" min="15" max="16" width="3.75"/>
    <col customWidth="1" min="17" max="17" width="4.5"/>
    <col customWidth="1" min="18" max="18" width="3.75"/>
    <col customWidth="1" min="19" max="19" width="3.88"/>
  </cols>
  <sheetData>
    <row r="1">
      <c r="A1" s="1" t="s">
        <v>0</v>
      </c>
      <c r="B1" s="2"/>
      <c r="C1" s="3"/>
      <c r="D1" s="4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ht="21.0" customHeight="1">
      <c r="A2" s="5" t="s">
        <v>1</v>
      </c>
      <c r="B2" s="5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9</v>
      </c>
      <c r="J2" s="6" t="s">
        <v>10</v>
      </c>
      <c r="K2" s="6" t="s">
        <v>11</v>
      </c>
      <c r="L2" s="6" t="s">
        <v>12</v>
      </c>
      <c r="M2" s="6" t="s">
        <v>13</v>
      </c>
      <c r="N2" s="7" t="s">
        <v>14</v>
      </c>
      <c r="O2" s="8"/>
      <c r="P2" s="9"/>
      <c r="Q2" s="7" t="s">
        <v>15</v>
      </c>
      <c r="R2" s="8"/>
      <c r="S2" s="10"/>
    </row>
    <row r="3" ht="21.0" customHeight="1">
      <c r="A3" s="11" t="s">
        <v>16</v>
      </c>
      <c r="B3" s="12" t="s">
        <v>17</v>
      </c>
      <c r="C3" s="13" t="s">
        <v>18</v>
      </c>
      <c r="D3" s="14" t="s">
        <v>15</v>
      </c>
      <c r="E3" s="14">
        <v>4.0</v>
      </c>
      <c r="F3" s="15" t="s">
        <v>19</v>
      </c>
      <c r="G3" s="16">
        <f>(M3*4)+(M4*3)+(M5*2)</f>
        <v>16</v>
      </c>
      <c r="H3" s="17" t="s">
        <v>20</v>
      </c>
      <c r="I3" s="18"/>
      <c r="J3" s="19">
        <v>7678237.0</v>
      </c>
      <c r="K3" s="19" t="s">
        <v>21</v>
      </c>
      <c r="L3" s="14" t="s">
        <v>22</v>
      </c>
      <c r="M3" s="14">
        <v>4.0</v>
      </c>
      <c r="N3" s="20">
        <v>4.0</v>
      </c>
      <c r="O3" s="14">
        <f>N3*4</f>
        <v>16</v>
      </c>
      <c r="P3" s="21">
        <f>(N3*4)+(N4*3)+(N5*2)</f>
        <v>16</v>
      </c>
      <c r="Q3" s="22">
        <v>4.0</v>
      </c>
      <c r="R3" s="14">
        <f>Q3*4</f>
        <v>16</v>
      </c>
      <c r="S3" s="23">
        <f>(Q3*4)+(Q4*3)+(Q5*2)</f>
        <v>16</v>
      </c>
    </row>
    <row r="4" ht="21.0" customHeight="1">
      <c r="A4" s="24"/>
      <c r="B4" s="25"/>
      <c r="C4" s="26"/>
      <c r="D4" s="27" t="s">
        <v>14</v>
      </c>
      <c r="E4" s="27">
        <v>3.0</v>
      </c>
      <c r="F4" s="28" t="s">
        <v>23</v>
      </c>
      <c r="G4" s="29"/>
      <c r="H4" s="30" t="s">
        <v>24</v>
      </c>
      <c r="I4" s="31"/>
      <c r="J4" s="32">
        <v>441559.0</v>
      </c>
      <c r="K4" s="33" t="s">
        <v>25</v>
      </c>
      <c r="L4" s="27" t="s">
        <v>26</v>
      </c>
      <c r="M4" s="27">
        <v>0.0</v>
      </c>
      <c r="N4" s="34">
        <v>0.0</v>
      </c>
      <c r="O4" s="27">
        <f>N4*3</f>
        <v>0</v>
      </c>
      <c r="P4" s="35"/>
      <c r="Q4" s="34">
        <v>0.0</v>
      </c>
      <c r="R4" s="27">
        <f>Q4*3</f>
        <v>0</v>
      </c>
      <c r="S4" s="36"/>
    </row>
    <row r="5" ht="21.0" customHeight="1">
      <c r="A5" s="24"/>
      <c r="B5" s="25"/>
      <c r="C5" s="37"/>
      <c r="D5" s="38"/>
      <c r="E5" s="38"/>
      <c r="F5" s="39"/>
      <c r="G5" s="29"/>
      <c r="H5" s="40"/>
      <c r="I5" s="38"/>
      <c r="J5" s="38"/>
      <c r="K5" s="38"/>
      <c r="L5" s="27" t="s">
        <v>27</v>
      </c>
      <c r="M5" s="27">
        <v>0.0</v>
      </c>
      <c r="N5" s="34">
        <v>0.0</v>
      </c>
      <c r="O5" s="27">
        <f>N5*2</f>
        <v>0</v>
      </c>
      <c r="P5" s="41"/>
      <c r="Q5" s="34">
        <v>0.0</v>
      </c>
      <c r="R5" s="27">
        <f>Q5*2</f>
        <v>0</v>
      </c>
      <c r="S5" s="42"/>
    </row>
    <row r="6" ht="21.0" customHeight="1">
      <c r="A6" s="24"/>
      <c r="B6" s="25"/>
      <c r="C6" s="43" t="s">
        <v>28</v>
      </c>
      <c r="D6" s="27" t="str">
        <f t="shared" ref="D6:F6" si="1">D3</f>
        <v>MEK</v>
      </c>
      <c r="E6" s="27">
        <f t="shared" si="1"/>
        <v>4</v>
      </c>
      <c r="F6" s="28" t="str">
        <f t="shared" si="1"/>
        <v>06-10 JUL</v>
      </c>
      <c r="G6" s="44">
        <f>(M6*4)+(M7*3)+(M8*2)</f>
        <v>36</v>
      </c>
      <c r="H6" s="45" t="s">
        <v>29</v>
      </c>
      <c r="I6" s="38"/>
      <c r="J6" s="46">
        <v>8.8789213E7</v>
      </c>
      <c r="K6" s="46" t="s">
        <v>29</v>
      </c>
      <c r="L6" s="27" t="s">
        <v>22</v>
      </c>
      <c r="M6" s="27">
        <v>9.0</v>
      </c>
      <c r="N6" s="34">
        <v>9.0</v>
      </c>
      <c r="O6" s="27">
        <f>N6*4</f>
        <v>36</v>
      </c>
      <c r="P6" s="47">
        <f>(N6*4)+(N7*3)+(N8*2)</f>
        <v>36</v>
      </c>
      <c r="Q6" s="48">
        <v>9.0</v>
      </c>
      <c r="R6" s="27">
        <f>Q6*4</f>
        <v>36</v>
      </c>
      <c r="S6" s="49">
        <f>(Q6*4)+(Q7*3)+(Q8*2)</f>
        <v>36</v>
      </c>
    </row>
    <row r="7" ht="21.0" customHeight="1">
      <c r="A7" s="24"/>
      <c r="B7" s="25"/>
      <c r="C7" s="50"/>
      <c r="D7" s="27" t="str">
        <f t="shared" ref="D7:F7" si="2">D4</f>
        <v>MED</v>
      </c>
      <c r="E7" s="27">
        <f t="shared" si="2"/>
        <v>3</v>
      </c>
      <c r="F7" s="28" t="str">
        <f t="shared" si="2"/>
        <v>10-13 JUL</v>
      </c>
      <c r="G7" s="29"/>
      <c r="H7" s="51" t="s">
        <v>30</v>
      </c>
      <c r="I7" s="52"/>
      <c r="J7" s="53">
        <v>8.2891237E7</v>
      </c>
      <c r="K7" s="53" t="s">
        <v>31</v>
      </c>
      <c r="L7" s="27" t="s">
        <v>26</v>
      </c>
      <c r="M7" s="27">
        <v>0.0</v>
      </c>
      <c r="N7" s="34">
        <v>0.0</v>
      </c>
      <c r="O7" s="27">
        <f>N7*3</f>
        <v>0</v>
      </c>
      <c r="P7" s="35"/>
      <c r="Q7" s="34">
        <v>0.0</v>
      </c>
      <c r="R7" s="27">
        <f>Q7*3</f>
        <v>0</v>
      </c>
      <c r="S7" s="36"/>
    </row>
    <row r="8" ht="21.0" customHeight="1">
      <c r="A8" s="24"/>
      <c r="B8" s="25"/>
      <c r="C8" s="54"/>
      <c r="D8" s="38"/>
      <c r="E8" s="38"/>
      <c r="F8" s="39"/>
      <c r="G8" s="55"/>
      <c r="H8" s="40"/>
      <c r="I8" s="38"/>
      <c r="J8" s="38"/>
      <c r="K8" s="38"/>
      <c r="L8" s="27" t="s">
        <v>27</v>
      </c>
      <c r="M8" s="27">
        <v>0.0</v>
      </c>
      <c r="N8" s="34">
        <v>0.0</v>
      </c>
      <c r="O8" s="27">
        <f>N8*2</f>
        <v>0</v>
      </c>
      <c r="P8" s="41"/>
      <c r="Q8" s="34">
        <v>0.0</v>
      </c>
      <c r="R8" s="27">
        <f>Q8*2</f>
        <v>0</v>
      </c>
      <c r="S8" s="42"/>
    </row>
    <row r="9" ht="21.0" customHeight="1">
      <c r="A9" s="24"/>
      <c r="B9" s="25"/>
      <c r="C9" s="56" t="s">
        <v>32</v>
      </c>
      <c r="D9" s="27" t="str">
        <f t="shared" ref="D9:F9" si="3">D6</f>
        <v>MEK</v>
      </c>
      <c r="E9" s="27">
        <f t="shared" si="3"/>
        <v>4</v>
      </c>
      <c r="F9" s="28" t="str">
        <f t="shared" si="3"/>
        <v>06-10 JUL</v>
      </c>
      <c r="G9" s="44">
        <f>(M9*4)+(M10*3)+(M11*2)</f>
        <v>120</v>
      </c>
      <c r="H9" s="57" t="s">
        <v>33</v>
      </c>
      <c r="I9" s="58"/>
      <c r="J9" s="59">
        <v>4882913.0</v>
      </c>
      <c r="K9" s="59" t="s">
        <v>25</v>
      </c>
      <c r="L9" s="27" t="s">
        <v>22</v>
      </c>
      <c r="M9" s="27">
        <v>30.0</v>
      </c>
      <c r="N9" s="34">
        <v>30.0</v>
      </c>
      <c r="O9" s="27">
        <f>N9*4</f>
        <v>120</v>
      </c>
      <c r="P9" s="47">
        <f>(N9*4)+(N10*3)+(N11*2)</f>
        <v>120</v>
      </c>
      <c r="Q9" s="34">
        <v>30.0</v>
      </c>
      <c r="R9" s="27">
        <f>Q9*4</f>
        <v>120</v>
      </c>
      <c r="S9" s="49">
        <f>(Q9*4)+(Q10*3)+(Q11*2)</f>
        <v>120</v>
      </c>
    </row>
    <row r="10" ht="21.0" customHeight="1">
      <c r="A10" s="24"/>
      <c r="B10" s="25"/>
      <c r="C10" s="60"/>
      <c r="D10" s="27" t="str">
        <f t="shared" ref="D10:F10" si="4">D7</f>
        <v>MED</v>
      </c>
      <c r="E10" s="27">
        <f t="shared" si="4"/>
        <v>3</v>
      </c>
      <c r="F10" s="28" t="str">
        <f t="shared" si="4"/>
        <v>10-13 JUL</v>
      </c>
      <c r="G10" s="29"/>
      <c r="H10" s="45" t="s">
        <v>34</v>
      </c>
      <c r="I10" s="38"/>
      <c r="J10" s="61">
        <v>872898.0</v>
      </c>
      <c r="K10" s="27" t="s">
        <v>35</v>
      </c>
      <c r="L10" s="27" t="s">
        <v>26</v>
      </c>
      <c r="M10" s="27">
        <v>0.0</v>
      </c>
      <c r="N10" s="34">
        <v>0.0</v>
      </c>
      <c r="O10" s="27">
        <f>N10*3</f>
        <v>0</v>
      </c>
      <c r="P10" s="35"/>
      <c r="Q10" s="34">
        <v>0.0</v>
      </c>
      <c r="R10" s="27">
        <f>Q10*3</f>
        <v>0</v>
      </c>
      <c r="S10" s="36"/>
    </row>
    <row r="11" ht="21.0" customHeight="1">
      <c r="A11" s="24"/>
      <c r="B11" s="25"/>
      <c r="C11" s="62"/>
      <c r="D11" s="38"/>
      <c r="E11" s="38"/>
      <c r="F11" s="39"/>
      <c r="G11" s="55"/>
      <c r="H11" s="40"/>
      <c r="I11" s="38"/>
      <c r="J11" s="38"/>
      <c r="K11" s="38"/>
      <c r="L11" s="27" t="s">
        <v>27</v>
      </c>
      <c r="M11" s="27">
        <v>0.0</v>
      </c>
      <c r="N11" s="34">
        <v>0.0</v>
      </c>
      <c r="O11" s="27">
        <f>N11*2</f>
        <v>0</v>
      </c>
      <c r="P11" s="41"/>
      <c r="Q11" s="34">
        <v>0.0</v>
      </c>
      <c r="R11" s="27">
        <f>Q11*2</f>
        <v>0</v>
      </c>
      <c r="S11" s="42"/>
    </row>
    <row r="12" ht="21.0" customHeight="1">
      <c r="A12" s="24"/>
      <c r="B12" s="25"/>
      <c r="C12" s="63" t="s">
        <v>36</v>
      </c>
      <c r="D12" s="27" t="str">
        <f t="shared" ref="D12:F12" si="5">D9</f>
        <v>MEK</v>
      </c>
      <c r="E12" s="27">
        <f t="shared" si="5"/>
        <v>4</v>
      </c>
      <c r="F12" s="28" t="str">
        <f t="shared" si="5"/>
        <v>06-10 JUL</v>
      </c>
      <c r="G12" s="44">
        <f>(M12*4)+(M13*3)+(M14*2)</f>
        <v>56</v>
      </c>
      <c r="H12" s="45" t="s">
        <v>37</v>
      </c>
      <c r="I12" s="38"/>
      <c r="J12" s="46">
        <v>7872893.0</v>
      </c>
      <c r="K12" s="46" t="s">
        <v>38</v>
      </c>
      <c r="L12" s="27" t="s">
        <v>22</v>
      </c>
      <c r="M12" s="27">
        <v>14.0</v>
      </c>
      <c r="N12" s="34">
        <v>14.0</v>
      </c>
      <c r="O12" s="27">
        <f>N12*4</f>
        <v>56</v>
      </c>
      <c r="P12" s="47">
        <f>(N12*4)+(N13*3)+(N14*2)</f>
        <v>56</v>
      </c>
      <c r="Q12" s="48">
        <v>14.0</v>
      </c>
      <c r="R12" s="27">
        <f>Q12*4</f>
        <v>56</v>
      </c>
      <c r="S12" s="49">
        <f>(Q12*4)+(Q13*3)+(Q14*2)</f>
        <v>56</v>
      </c>
    </row>
    <row r="13" ht="21.0" customHeight="1">
      <c r="A13" s="24"/>
      <c r="B13" s="25"/>
      <c r="C13" s="64"/>
      <c r="D13" s="27" t="str">
        <f t="shared" ref="D13:F13" si="6">D10</f>
        <v>MED</v>
      </c>
      <c r="E13" s="27">
        <f t="shared" si="6"/>
        <v>3</v>
      </c>
      <c r="F13" s="28" t="str">
        <f t="shared" si="6"/>
        <v>10-13 JUL</v>
      </c>
      <c r="G13" s="29"/>
      <c r="H13" s="65" t="s">
        <v>39</v>
      </c>
      <c r="I13" s="66"/>
      <c r="J13" s="34">
        <v>441515.0</v>
      </c>
      <c r="K13" s="34" t="s">
        <v>25</v>
      </c>
      <c r="L13" s="27" t="s">
        <v>26</v>
      </c>
      <c r="M13" s="27">
        <v>0.0</v>
      </c>
      <c r="N13" s="34">
        <v>0.0</v>
      </c>
      <c r="O13" s="27">
        <f>N13*3</f>
        <v>0</v>
      </c>
      <c r="P13" s="35"/>
      <c r="Q13" s="34">
        <v>0.0</v>
      </c>
      <c r="R13" s="27">
        <f>Q13*3</f>
        <v>0</v>
      </c>
      <c r="S13" s="36"/>
    </row>
    <row r="14" ht="21.0" customHeight="1">
      <c r="A14" s="67"/>
      <c r="B14" s="68"/>
      <c r="C14" s="69"/>
      <c r="D14" s="70"/>
      <c r="E14" s="70"/>
      <c r="F14" s="71"/>
      <c r="G14" s="72"/>
      <c r="H14" s="73"/>
      <c r="I14" s="70"/>
      <c r="J14" s="70"/>
      <c r="K14" s="70"/>
      <c r="L14" s="74" t="s">
        <v>27</v>
      </c>
      <c r="M14" s="74">
        <v>0.0</v>
      </c>
      <c r="N14" s="75">
        <v>0.0</v>
      </c>
      <c r="O14" s="74">
        <f>N14*2</f>
        <v>0</v>
      </c>
      <c r="P14" s="76"/>
      <c r="Q14" s="75">
        <v>0.0</v>
      </c>
      <c r="R14" s="74">
        <f>Q14*2</f>
        <v>0</v>
      </c>
      <c r="S14" s="77"/>
    </row>
    <row r="15" ht="21.0" customHeight="1">
      <c r="A15" s="78" t="s">
        <v>40</v>
      </c>
      <c r="B15" s="12" t="s">
        <v>17</v>
      </c>
      <c r="C15" s="13" t="s">
        <v>18</v>
      </c>
      <c r="D15" s="14" t="s">
        <v>15</v>
      </c>
      <c r="E15" s="14">
        <v>4.0</v>
      </c>
      <c r="F15" s="79" t="s">
        <v>41</v>
      </c>
      <c r="G15" s="16">
        <f>(M15*4)+(M16*3)+(M17*2)</f>
        <v>16</v>
      </c>
      <c r="H15" s="17" t="s">
        <v>20</v>
      </c>
      <c r="I15" s="18"/>
      <c r="J15" s="19">
        <v>7678237.0</v>
      </c>
      <c r="K15" s="19" t="s">
        <v>21</v>
      </c>
      <c r="L15" s="14" t="s">
        <v>22</v>
      </c>
      <c r="M15" s="14">
        <v>4.0</v>
      </c>
      <c r="N15" s="20">
        <v>4.0</v>
      </c>
      <c r="O15" s="14">
        <f>N15*4</f>
        <v>16</v>
      </c>
      <c r="P15" s="21">
        <f>(N15*4)+(N16*3)+(N17*2)</f>
        <v>16</v>
      </c>
      <c r="Q15" s="22">
        <v>4.0</v>
      </c>
      <c r="R15" s="14">
        <f>Q15*4</f>
        <v>16</v>
      </c>
      <c r="S15" s="23">
        <f>(Q15*4)+(Q16*3)+(Q17*2)</f>
        <v>16</v>
      </c>
    </row>
    <row r="16" ht="21.0" customHeight="1">
      <c r="A16" s="24"/>
      <c r="B16" s="25"/>
      <c r="C16" s="26"/>
      <c r="D16" s="27" t="s">
        <v>14</v>
      </c>
      <c r="E16" s="27">
        <v>3.0</v>
      </c>
      <c r="F16" s="80" t="s">
        <v>42</v>
      </c>
      <c r="G16" s="29"/>
      <c r="H16" s="30" t="s">
        <v>24</v>
      </c>
      <c r="I16" s="31"/>
      <c r="J16" s="32">
        <v>441559.0</v>
      </c>
      <c r="K16" s="33" t="s">
        <v>25</v>
      </c>
      <c r="L16" s="27" t="s">
        <v>26</v>
      </c>
      <c r="M16" s="27">
        <v>0.0</v>
      </c>
      <c r="N16" s="34">
        <v>0.0</v>
      </c>
      <c r="O16" s="27">
        <f>N16*3</f>
        <v>0</v>
      </c>
      <c r="P16" s="35"/>
      <c r="Q16" s="34">
        <v>0.0</v>
      </c>
      <c r="R16" s="27">
        <f>Q16*3</f>
        <v>0</v>
      </c>
      <c r="S16" s="36"/>
    </row>
    <row r="17" ht="21.0" customHeight="1">
      <c r="A17" s="24"/>
      <c r="B17" s="25"/>
      <c r="C17" s="37"/>
      <c r="D17" s="38"/>
      <c r="E17" s="38"/>
      <c r="F17" s="39"/>
      <c r="G17" s="29"/>
      <c r="H17" s="40"/>
      <c r="I17" s="38"/>
      <c r="J17" s="38"/>
      <c r="K17" s="38"/>
      <c r="L17" s="27" t="s">
        <v>27</v>
      </c>
      <c r="M17" s="27">
        <v>0.0</v>
      </c>
      <c r="N17" s="34">
        <v>0.0</v>
      </c>
      <c r="O17" s="27">
        <f>N17*2</f>
        <v>0</v>
      </c>
      <c r="P17" s="41"/>
      <c r="Q17" s="34">
        <v>0.0</v>
      </c>
      <c r="R17" s="27">
        <f>Q17*2</f>
        <v>0</v>
      </c>
      <c r="S17" s="42"/>
    </row>
    <row r="18" ht="21.0" customHeight="1">
      <c r="A18" s="24"/>
      <c r="B18" s="25"/>
      <c r="C18" s="43" t="s">
        <v>28</v>
      </c>
      <c r="D18" s="27" t="str">
        <f t="shared" ref="D18:E18" si="7">D15</f>
        <v>MEK</v>
      </c>
      <c r="E18" s="27">
        <f t="shared" si="7"/>
        <v>4</v>
      </c>
      <c r="F18" s="79" t="s">
        <v>41</v>
      </c>
      <c r="G18" s="44">
        <f>(M18*4)+(M19*3)+(M20*2)</f>
        <v>36</v>
      </c>
      <c r="H18" s="45" t="s">
        <v>29</v>
      </c>
      <c r="I18" s="38"/>
      <c r="J18" s="46">
        <v>8.8789213E7</v>
      </c>
      <c r="K18" s="46" t="s">
        <v>29</v>
      </c>
      <c r="L18" s="27" t="s">
        <v>22</v>
      </c>
      <c r="M18" s="27">
        <v>9.0</v>
      </c>
      <c r="N18" s="34">
        <v>9.0</v>
      </c>
      <c r="O18" s="27">
        <f>N18*4</f>
        <v>36</v>
      </c>
      <c r="P18" s="47">
        <f>(N18*4)+(N19*3)+(N20*2)</f>
        <v>36</v>
      </c>
      <c r="Q18" s="48">
        <v>9.0</v>
      </c>
      <c r="R18" s="27">
        <f>Q18*4</f>
        <v>36</v>
      </c>
      <c r="S18" s="49">
        <f>(Q18*4)+(Q19*3)+(Q20*2)</f>
        <v>36</v>
      </c>
    </row>
    <row r="19" ht="21.0" customHeight="1">
      <c r="A19" s="24"/>
      <c r="B19" s="25"/>
      <c r="C19" s="50"/>
      <c r="D19" s="27" t="str">
        <f t="shared" ref="D19:E19" si="8">D16</f>
        <v>MED</v>
      </c>
      <c r="E19" s="27">
        <f t="shared" si="8"/>
        <v>3</v>
      </c>
      <c r="F19" s="80" t="s">
        <v>42</v>
      </c>
      <c r="G19" s="29"/>
      <c r="H19" s="51" t="s">
        <v>30</v>
      </c>
      <c r="I19" s="52"/>
      <c r="J19" s="53">
        <v>8.2891237E7</v>
      </c>
      <c r="K19" s="53" t="s">
        <v>31</v>
      </c>
      <c r="L19" s="27" t="s">
        <v>26</v>
      </c>
      <c r="M19" s="27">
        <v>0.0</v>
      </c>
      <c r="N19" s="34">
        <v>0.0</v>
      </c>
      <c r="O19" s="27">
        <f>N19*3</f>
        <v>0</v>
      </c>
      <c r="P19" s="35"/>
      <c r="Q19" s="34">
        <v>0.0</v>
      </c>
      <c r="R19" s="27">
        <f>Q19*3</f>
        <v>0</v>
      </c>
      <c r="S19" s="36"/>
    </row>
    <row r="20" ht="21.0" customHeight="1">
      <c r="A20" s="24"/>
      <c r="B20" s="25"/>
      <c r="C20" s="54"/>
      <c r="D20" s="38"/>
      <c r="E20" s="38"/>
      <c r="F20" s="39"/>
      <c r="G20" s="55"/>
      <c r="H20" s="40"/>
      <c r="I20" s="38"/>
      <c r="J20" s="38"/>
      <c r="K20" s="38"/>
      <c r="L20" s="27" t="s">
        <v>27</v>
      </c>
      <c r="M20" s="27">
        <v>0.0</v>
      </c>
      <c r="N20" s="34">
        <v>0.0</v>
      </c>
      <c r="O20" s="27">
        <f>N20*2</f>
        <v>0</v>
      </c>
      <c r="P20" s="41"/>
      <c r="Q20" s="34">
        <v>0.0</v>
      </c>
      <c r="R20" s="27">
        <f>Q20*2</f>
        <v>0</v>
      </c>
      <c r="S20" s="42"/>
    </row>
    <row r="21" ht="21.0" customHeight="1">
      <c r="A21" s="24"/>
      <c r="B21" s="25"/>
      <c r="C21" s="56" t="s">
        <v>32</v>
      </c>
      <c r="D21" s="27" t="str">
        <f t="shared" ref="D21:E21" si="9">D18</f>
        <v>MEK</v>
      </c>
      <c r="E21" s="27">
        <f t="shared" si="9"/>
        <v>4</v>
      </c>
      <c r="F21" s="79" t="s">
        <v>41</v>
      </c>
      <c r="G21" s="44">
        <f>(M21*4)+(M22*3)+(M23*2)</f>
        <v>120</v>
      </c>
      <c r="H21" s="57" t="s">
        <v>33</v>
      </c>
      <c r="I21" s="58"/>
      <c r="J21" s="59">
        <v>4882913.0</v>
      </c>
      <c r="K21" s="59" t="s">
        <v>25</v>
      </c>
      <c r="L21" s="27" t="s">
        <v>22</v>
      </c>
      <c r="M21" s="27">
        <v>30.0</v>
      </c>
      <c r="N21" s="34">
        <v>30.0</v>
      </c>
      <c r="O21" s="27">
        <f>N21*4</f>
        <v>120</v>
      </c>
      <c r="P21" s="47">
        <f>(N21*4)+(N22*3)+(N23*2)</f>
        <v>120</v>
      </c>
      <c r="Q21" s="34">
        <v>30.0</v>
      </c>
      <c r="R21" s="27">
        <f>Q21*4</f>
        <v>120</v>
      </c>
      <c r="S21" s="49">
        <f>(Q21*4)+(Q22*3)+(Q23*2)</f>
        <v>120</v>
      </c>
    </row>
    <row r="22" ht="21.0" customHeight="1">
      <c r="A22" s="24"/>
      <c r="B22" s="25"/>
      <c r="C22" s="60"/>
      <c r="D22" s="27" t="str">
        <f t="shared" ref="D22:E22" si="10">D19</f>
        <v>MED</v>
      </c>
      <c r="E22" s="27">
        <f t="shared" si="10"/>
        <v>3</v>
      </c>
      <c r="F22" s="80" t="s">
        <v>42</v>
      </c>
      <c r="G22" s="29"/>
      <c r="H22" s="45" t="s">
        <v>34</v>
      </c>
      <c r="I22" s="38"/>
      <c r="J22" s="61">
        <v>872898.0</v>
      </c>
      <c r="K22" s="27" t="s">
        <v>35</v>
      </c>
      <c r="L22" s="27" t="s">
        <v>26</v>
      </c>
      <c r="M22" s="27">
        <v>0.0</v>
      </c>
      <c r="N22" s="34">
        <v>0.0</v>
      </c>
      <c r="O22" s="27">
        <f>N22*3</f>
        <v>0</v>
      </c>
      <c r="P22" s="35"/>
      <c r="Q22" s="34">
        <v>0.0</v>
      </c>
      <c r="R22" s="27">
        <f>Q22*3</f>
        <v>0</v>
      </c>
      <c r="S22" s="36"/>
    </row>
    <row r="23" ht="21.0" customHeight="1">
      <c r="A23" s="24"/>
      <c r="B23" s="25"/>
      <c r="C23" s="62"/>
      <c r="D23" s="38"/>
      <c r="E23" s="38"/>
      <c r="F23" s="39"/>
      <c r="G23" s="55"/>
      <c r="H23" s="40"/>
      <c r="I23" s="38"/>
      <c r="J23" s="38"/>
      <c r="K23" s="38"/>
      <c r="L23" s="27" t="s">
        <v>27</v>
      </c>
      <c r="M23" s="27">
        <v>0.0</v>
      </c>
      <c r="N23" s="34">
        <v>0.0</v>
      </c>
      <c r="O23" s="27">
        <f>N23*2</f>
        <v>0</v>
      </c>
      <c r="P23" s="41"/>
      <c r="Q23" s="34">
        <v>0.0</v>
      </c>
      <c r="R23" s="27">
        <f>Q23*2</f>
        <v>0</v>
      </c>
      <c r="S23" s="42"/>
    </row>
    <row r="24" ht="21.0" customHeight="1">
      <c r="A24" s="24"/>
      <c r="B24" s="25"/>
      <c r="C24" s="63" t="s">
        <v>36</v>
      </c>
      <c r="D24" s="27" t="str">
        <f t="shared" ref="D24:E24" si="11">D21</f>
        <v>MEK</v>
      </c>
      <c r="E24" s="27">
        <f t="shared" si="11"/>
        <v>4</v>
      </c>
      <c r="F24" s="79" t="s">
        <v>41</v>
      </c>
      <c r="G24" s="44">
        <f>(M24*4)+(M25*3)+(M26*2)</f>
        <v>56</v>
      </c>
      <c r="H24" s="45" t="s">
        <v>37</v>
      </c>
      <c r="I24" s="38"/>
      <c r="J24" s="46">
        <v>7872893.0</v>
      </c>
      <c r="K24" s="46" t="s">
        <v>38</v>
      </c>
      <c r="L24" s="27" t="s">
        <v>22</v>
      </c>
      <c r="M24" s="27">
        <v>14.0</v>
      </c>
      <c r="N24" s="34">
        <v>14.0</v>
      </c>
      <c r="O24" s="27">
        <f>N24*4</f>
        <v>56</v>
      </c>
      <c r="P24" s="47">
        <f>(N24*4)+(N25*3)+(N26*2)</f>
        <v>56</v>
      </c>
      <c r="Q24" s="48">
        <v>14.0</v>
      </c>
      <c r="R24" s="27">
        <f>Q24*4</f>
        <v>56</v>
      </c>
      <c r="S24" s="49">
        <f>(Q24*4)+(Q25*3)+(Q26*2)</f>
        <v>56</v>
      </c>
    </row>
    <row r="25" ht="21.0" customHeight="1">
      <c r="A25" s="24"/>
      <c r="B25" s="25"/>
      <c r="C25" s="64"/>
      <c r="D25" s="27" t="str">
        <f t="shared" ref="D25:E25" si="12">D22</f>
        <v>MED</v>
      </c>
      <c r="E25" s="27">
        <f t="shared" si="12"/>
        <v>3</v>
      </c>
      <c r="F25" s="80" t="s">
        <v>42</v>
      </c>
      <c r="G25" s="29"/>
      <c r="H25" s="65" t="s">
        <v>39</v>
      </c>
      <c r="I25" s="66"/>
      <c r="J25" s="34">
        <v>441515.0</v>
      </c>
      <c r="K25" s="34" t="s">
        <v>25</v>
      </c>
      <c r="L25" s="27" t="s">
        <v>26</v>
      </c>
      <c r="M25" s="27">
        <v>0.0</v>
      </c>
      <c r="N25" s="34">
        <v>0.0</v>
      </c>
      <c r="O25" s="27">
        <f>N25*3</f>
        <v>0</v>
      </c>
      <c r="P25" s="35"/>
      <c r="Q25" s="34">
        <v>0.0</v>
      </c>
      <c r="R25" s="27">
        <f>Q25*3</f>
        <v>0</v>
      </c>
      <c r="S25" s="36"/>
    </row>
    <row r="26" ht="21.0" customHeight="1">
      <c r="A26" s="67"/>
      <c r="B26" s="68"/>
      <c r="C26" s="69"/>
      <c r="D26" s="70"/>
      <c r="E26" s="70"/>
      <c r="F26" s="71"/>
      <c r="G26" s="72"/>
      <c r="H26" s="73"/>
      <c r="I26" s="70"/>
      <c r="J26" s="70"/>
      <c r="K26" s="70"/>
      <c r="L26" s="74" t="s">
        <v>27</v>
      </c>
      <c r="M26" s="74">
        <v>0.0</v>
      </c>
      <c r="N26" s="75">
        <v>0.0</v>
      </c>
      <c r="O26" s="74">
        <f>N26*2</f>
        <v>0</v>
      </c>
      <c r="P26" s="76"/>
      <c r="Q26" s="75">
        <v>0.0</v>
      </c>
      <c r="R26" s="74">
        <f>Q26*2</f>
        <v>0</v>
      </c>
      <c r="S26" s="77"/>
    </row>
    <row r="27" ht="21.0" customHeight="1"/>
    <row r="28" ht="21.0" customHeight="1"/>
    <row r="29" ht="21.0" customHeight="1"/>
    <row r="30" ht="21.0" customHeight="1"/>
    <row r="31" ht="21.0" customHeight="1"/>
    <row r="32" ht="21.0" customHeight="1"/>
    <row r="33" ht="21.0" customHeight="1"/>
    <row r="34" ht="21.0" customHeight="1"/>
    <row r="35" ht="21.0" customHeight="1"/>
    <row r="36" ht="21.0" customHeight="1"/>
    <row r="37" ht="21.0" customHeight="1"/>
    <row r="38" ht="21.0" customHeight="1"/>
    <row r="39" ht="21.0" customHeight="1"/>
    <row r="40" ht="21.0" customHeight="1"/>
    <row r="41" ht="21.0" customHeight="1"/>
    <row r="42" ht="21.0" customHeight="1"/>
    <row r="43" ht="21.0" customHeight="1"/>
    <row r="44" ht="21.0" customHeight="1"/>
    <row r="45" ht="21.0" customHeight="1"/>
    <row r="46" ht="21.0" customHeight="1"/>
    <row r="47" ht="21.0" customHeight="1"/>
    <row r="48" ht="21.0" customHeight="1"/>
    <row r="49" ht="21.0" customHeight="1"/>
    <row r="50" ht="21.0" customHeight="1"/>
    <row r="51" ht="21.0" customHeight="1"/>
    <row r="52" ht="21.0" customHeight="1"/>
    <row r="53" ht="21.0" customHeight="1"/>
    <row r="54" ht="21.0" customHeight="1"/>
    <row r="55" ht="21.0" customHeight="1"/>
    <row r="56" ht="21.0" customHeight="1"/>
    <row r="57" ht="21.0" customHeight="1"/>
    <row r="58" ht="21.0" customHeight="1"/>
    <row r="59" ht="21.0" customHeight="1"/>
    <row r="60" ht="21.0" customHeight="1"/>
    <row r="61" ht="21.0" customHeight="1"/>
    <row r="62" ht="21.0" customHeight="1"/>
    <row r="63" ht="21.0" customHeight="1"/>
    <row r="64" ht="21.0" customHeight="1"/>
    <row r="65" ht="21.0" customHeight="1"/>
    <row r="66" ht="21.0" customHeight="1"/>
    <row r="67" ht="21.0" customHeight="1"/>
    <row r="68" ht="21.0" customHeight="1"/>
    <row r="69" ht="21.0" customHeight="1"/>
    <row r="70" ht="21.0" customHeight="1"/>
    <row r="71" ht="21.0" customHeight="1"/>
    <row r="72" ht="21.0" customHeight="1"/>
    <row r="73" ht="21.0" customHeight="1"/>
    <row r="74" ht="21.0" customHeight="1"/>
    <row r="75" ht="21.0" customHeight="1"/>
    <row r="76" ht="21.0" customHeight="1"/>
    <row r="77" ht="21.0" customHeight="1"/>
    <row r="78" ht="21.0" customHeight="1"/>
    <row r="79" ht="21.0" customHeight="1"/>
    <row r="80" ht="21.0" customHeight="1"/>
    <row r="81" ht="21.0" customHeight="1"/>
    <row r="82" ht="21.0" customHeight="1"/>
    <row r="83" ht="21.0" customHeight="1"/>
    <row r="84" ht="21.0" customHeight="1"/>
    <row r="85" ht="21.0" customHeight="1"/>
    <row r="86" ht="21.0" customHeight="1"/>
    <row r="87" ht="21.0" customHeight="1"/>
    <row r="88" ht="21.0" customHeight="1"/>
    <row r="89" ht="21.0" customHeight="1"/>
    <row r="90" ht="21.0" customHeight="1"/>
    <row r="91" ht="21.0" customHeight="1"/>
    <row r="92" ht="21.0" customHeight="1"/>
    <row r="93" ht="21.0" customHeight="1"/>
    <row r="94" ht="21.0" customHeight="1"/>
    <row r="95" ht="21.0" customHeight="1"/>
    <row r="96" ht="21.0" customHeight="1"/>
    <row r="97" ht="21.0" customHeight="1"/>
    <row r="98" ht="21.0" customHeight="1"/>
    <row r="99" ht="21.0" customHeight="1"/>
    <row r="100" ht="21.0" customHeight="1"/>
    <row r="101" ht="21.0" customHeight="1"/>
    <row r="102" ht="21.0" customHeight="1"/>
    <row r="103" ht="21.0" customHeight="1"/>
    <row r="104" ht="21.0" customHeight="1"/>
    <row r="105" ht="21.0" customHeight="1"/>
    <row r="106" ht="21.0" customHeight="1"/>
    <row r="107" ht="21.0" customHeight="1"/>
    <row r="108" ht="21.0" customHeight="1"/>
    <row r="109" ht="21.0" customHeight="1"/>
    <row r="110" ht="21.0" customHeight="1"/>
    <row r="111" ht="21.0" customHeight="1"/>
    <row r="112" ht="21.0" customHeight="1"/>
    <row r="113" ht="21.0" customHeight="1"/>
    <row r="114" ht="21.0" customHeight="1"/>
    <row r="115" ht="21.0" customHeight="1"/>
    <row r="116" ht="21.0" customHeight="1"/>
    <row r="117" ht="21.0" customHeight="1"/>
    <row r="118" ht="21.0" customHeight="1"/>
    <row r="119" ht="21.0" customHeight="1"/>
    <row r="120" ht="21.0" customHeight="1"/>
    <row r="121" ht="21.0" customHeight="1"/>
    <row r="122" ht="21.0" customHeight="1"/>
    <row r="123" ht="21.0" customHeight="1"/>
    <row r="124" ht="21.0" customHeight="1"/>
    <row r="125" ht="21.0" customHeight="1"/>
    <row r="126" ht="21.0" customHeight="1"/>
    <row r="127" ht="21.0" customHeight="1"/>
    <row r="128" ht="21.0" customHeight="1"/>
    <row r="129" ht="21.0" customHeight="1"/>
    <row r="130" ht="21.0" customHeight="1"/>
    <row r="131" ht="21.0" customHeight="1"/>
    <row r="132" ht="21.0" customHeight="1"/>
    <row r="133" ht="21.0" customHeight="1"/>
    <row r="134" ht="21.0" customHeight="1"/>
    <row r="135" ht="21.0" customHeight="1"/>
    <row r="136" ht="21.0" customHeight="1"/>
    <row r="137" ht="21.0" customHeight="1"/>
    <row r="138" ht="21.0" customHeight="1"/>
    <row r="139" ht="21.0" customHeight="1"/>
    <row r="140" ht="21.0" customHeight="1"/>
    <row r="141" ht="21.0" customHeight="1"/>
    <row r="142" ht="21.0" customHeight="1"/>
    <row r="143" ht="21.0" customHeight="1"/>
    <row r="144" ht="21.0" customHeight="1"/>
    <row r="145" ht="21.0" customHeight="1"/>
    <row r="146" ht="21.0" customHeight="1"/>
    <row r="147" ht="21.0" customHeight="1"/>
    <row r="148" ht="21.0" customHeight="1"/>
    <row r="149" ht="21.0" customHeight="1"/>
    <row r="150" ht="21.0" customHeight="1"/>
    <row r="151" ht="21.0" customHeight="1"/>
    <row r="152" ht="21.0" customHeight="1"/>
    <row r="153" ht="21.0" customHeight="1"/>
    <row r="154" ht="21.0" customHeight="1"/>
    <row r="155" ht="21.0" customHeight="1"/>
    <row r="156" ht="21.0" customHeight="1"/>
    <row r="157" ht="21.0" customHeight="1"/>
    <row r="158" ht="21.0" customHeight="1"/>
    <row r="159" ht="21.0" customHeight="1"/>
    <row r="160" ht="21.0" customHeight="1"/>
    <row r="161" ht="21.0" customHeight="1"/>
    <row r="162" ht="21.0" customHeight="1"/>
    <row r="163" ht="21.0" customHeight="1"/>
    <row r="164" ht="21.0" customHeight="1"/>
    <row r="165" ht="21.0" customHeight="1"/>
    <row r="166" ht="21.0" customHeight="1"/>
    <row r="167" ht="21.0" customHeight="1"/>
    <row r="168" ht="21.0" customHeight="1"/>
    <row r="169" ht="21.0" customHeight="1"/>
    <row r="170" ht="21.0" customHeight="1"/>
    <row r="171" ht="21.0" customHeight="1"/>
    <row r="172" ht="21.0" customHeight="1"/>
    <row r="173" ht="21.0" customHeight="1"/>
    <row r="174" ht="21.0" customHeight="1"/>
    <row r="175" ht="21.0" customHeight="1"/>
    <row r="176" ht="21.0" customHeight="1"/>
    <row r="177" ht="21.0" customHeight="1"/>
    <row r="178" ht="21.0" customHeight="1"/>
    <row r="179" ht="21.0" customHeight="1"/>
    <row r="180" ht="21.0" customHeight="1"/>
    <row r="181" ht="21.0" customHeight="1"/>
    <row r="182" ht="21.0" customHeight="1"/>
    <row r="183" ht="21.0" customHeight="1"/>
    <row r="184" ht="21.0" customHeight="1"/>
    <row r="185" ht="21.0" customHeight="1"/>
    <row r="186" ht="21.0" customHeight="1"/>
    <row r="187" ht="21.0" customHeight="1"/>
    <row r="188" ht="21.0" customHeight="1"/>
    <row r="189" ht="21.0" customHeight="1"/>
    <row r="190" ht="21.0" customHeight="1"/>
    <row r="191" ht="21.0" customHeight="1"/>
    <row r="192" ht="21.0" customHeight="1"/>
    <row r="193" ht="21.0" customHeight="1"/>
    <row r="194" ht="21.0" customHeight="1"/>
    <row r="195" ht="21.0" customHeight="1"/>
    <row r="196" ht="21.0" customHeight="1"/>
    <row r="197" ht="21.0" customHeight="1"/>
    <row r="198" ht="21.0" customHeight="1"/>
    <row r="199" ht="21.0" customHeight="1"/>
    <row r="200" ht="21.0" customHeight="1"/>
    <row r="201" ht="21.0" customHeight="1"/>
    <row r="202" ht="21.0" customHeight="1"/>
    <row r="203" ht="21.0" customHeight="1"/>
    <row r="204" ht="21.0" customHeight="1"/>
    <row r="205" ht="21.0" customHeight="1"/>
    <row r="206" ht="21.0" customHeight="1"/>
    <row r="207" ht="21.0" customHeight="1"/>
    <row r="208" ht="21.0" customHeight="1"/>
    <row r="209" ht="21.0" customHeight="1"/>
    <row r="210" ht="21.0" customHeight="1"/>
    <row r="211" ht="21.0" customHeight="1"/>
    <row r="212" ht="21.0" customHeight="1"/>
    <row r="213" ht="21.0" customHeight="1"/>
    <row r="214" ht="21.0" customHeight="1"/>
    <row r="215" ht="21.0" customHeight="1"/>
    <row r="216" ht="21.0" customHeight="1"/>
    <row r="217" ht="21.0" customHeight="1"/>
    <row r="218" ht="21.0" customHeight="1"/>
    <row r="219" ht="21.0" customHeight="1"/>
    <row r="220" ht="21.0" customHeight="1"/>
    <row r="221" ht="21.0" customHeight="1"/>
    <row r="222" ht="21.0" customHeight="1"/>
    <row r="223" ht="21.0" customHeight="1"/>
    <row r="224" ht="21.0" customHeight="1"/>
    <row r="225" ht="21.0" customHeight="1"/>
    <row r="226" ht="21.0" customHeight="1"/>
    <row r="227" ht="21.0" customHeight="1"/>
    <row r="228" ht="21.0" customHeight="1"/>
    <row r="229" ht="21.0" customHeight="1"/>
    <row r="230" ht="21.0" customHeight="1"/>
    <row r="231" ht="21.0" customHeight="1"/>
    <row r="232" ht="21.0" customHeight="1"/>
    <row r="233" ht="21.0" customHeight="1"/>
    <row r="234" ht="21.0" customHeight="1"/>
    <row r="235" ht="21.0" customHeight="1"/>
    <row r="236" ht="21.0" customHeight="1"/>
    <row r="237" ht="21.0" customHeight="1"/>
    <row r="238" ht="21.0" customHeight="1"/>
    <row r="239" ht="21.0" customHeight="1"/>
    <row r="240" ht="21.0" customHeight="1"/>
    <row r="241" ht="21.0" customHeight="1"/>
    <row r="242" ht="21.0" customHeight="1"/>
    <row r="243" ht="21.0" customHeight="1"/>
    <row r="244" ht="21.0" customHeight="1"/>
    <row r="245" ht="21.0" customHeight="1"/>
    <row r="246" ht="21.0" customHeight="1"/>
    <row r="247" ht="21.0" customHeight="1"/>
    <row r="248" ht="21.0" customHeight="1"/>
    <row r="249" ht="21.0" customHeight="1"/>
    <row r="250" ht="21.0" customHeight="1"/>
    <row r="251" ht="21.0" customHeight="1"/>
    <row r="252" ht="21.0" customHeight="1"/>
    <row r="253" ht="21.0" customHeight="1"/>
    <row r="254" ht="21.0" customHeight="1"/>
    <row r="255" ht="21.0" customHeight="1"/>
    <row r="256" ht="21.0" customHeight="1"/>
    <row r="257" ht="21.0" customHeight="1"/>
    <row r="258" ht="21.0" customHeight="1"/>
    <row r="259" ht="21.0" customHeight="1"/>
    <row r="260" ht="21.0" customHeight="1"/>
    <row r="261" ht="21.0" customHeight="1"/>
    <row r="262" ht="21.0" customHeight="1"/>
    <row r="263" ht="21.0" customHeight="1"/>
    <row r="264" ht="21.0" customHeight="1"/>
    <row r="265" ht="21.0" customHeight="1"/>
    <row r="266" ht="21.0" customHeight="1"/>
    <row r="267" ht="21.0" customHeight="1"/>
    <row r="268" ht="21.0" customHeight="1"/>
    <row r="269" ht="21.0" customHeight="1"/>
    <row r="270" ht="21.0" customHeight="1"/>
    <row r="271" ht="21.0" customHeight="1"/>
    <row r="272" ht="21.0" customHeight="1"/>
    <row r="273" ht="21.0" customHeight="1"/>
    <row r="274" ht="21.0" customHeight="1"/>
    <row r="275" ht="21.0" customHeight="1"/>
    <row r="276" ht="21.0" customHeight="1"/>
    <row r="277" ht="21.0" customHeight="1"/>
    <row r="278" ht="21.0" customHeight="1"/>
    <row r="279" ht="21.0" customHeight="1"/>
    <row r="280" ht="21.0" customHeight="1"/>
    <row r="281" ht="21.0" customHeight="1"/>
    <row r="282" ht="21.0" customHeight="1"/>
    <row r="283" ht="21.0" customHeight="1"/>
    <row r="284" ht="21.0" customHeight="1"/>
    <row r="285" ht="21.0" customHeight="1"/>
    <row r="286" ht="21.0" customHeight="1"/>
    <row r="287" ht="21.0" customHeight="1"/>
    <row r="288" ht="21.0" customHeight="1"/>
    <row r="289" ht="21.0" customHeight="1"/>
    <row r="290" ht="21.0" customHeight="1"/>
    <row r="291" ht="21.0" customHeight="1"/>
    <row r="292" ht="21.0" customHeight="1"/>
    <row r="293" ht="21.0" customHeight="1"/>
    <row r="294" ht="21.0" customHeight="1"/>
    <row r="295" ht="21.0" customHeight="1"/>
    <row r="296" ht="21.0" customHeight="1"/>
    <row r="297" ht="21.0" customHeight="1"/>
    <row r="298" ht="21.0" customHeight="1"/>
    <row r="299" ht="21.0" customHeight="1"/>
    <row r="300" ht="21.0" customHeight="1"/>
    <row r="301" ht="21.0" customHeight="1"/>
    <row r="302" ht="21.0" customHeight="1"/>
    <row r="303" ht="21.0" customHeight="1"/>
    <row r="304" ht="21.0" customHeight="1"/>
    <row r="305" ht="21.0" customHeight="1"/>
    <row r="306" ht="21.0" customHeight="1"/>
    <row r="307" ht="21.0" customHeight="1"/>
    <row r="308" ht="21.0" customHeight="1"/>
    <row r="309" ht="21.0" customHeight="1"/>
    <row r="310" ht="21.0" customHeight="1"/>
    <row r="311" ht="21.0" customHeight="1"/>
    <row r="312" ht="21.0" customHeight="1"/>
    <row r="313" ht="21.0" customHeight="1"/>
    <row r="314" ht="21.0" customHeight="1"/>
    <row r="315" ht="21.0" customHeight="1"/>
    <row r="316" ht="21.0" customHeight="1"/>
    <row r="317" ht="21.0" customHeight="1"/>
    <row r="318" ht="21.0" customHeight="1"/>
    <row r="319" ht="21.0" customHeight="1"/>
    <row r="320" ht="21.0" customHeight="1"/>
    <row r="321" ht="21.0" customHeight="1"/>
    <row r="322" ht="21.0" customHeight="1"/>
    <row r="323" ht="21.0" customHeight="1"/>
    <row r="324" ht="21.0" customHeight="1"/>
    <row r="325" ht="21.0" customHeight="1"/>
    <row r="326" ht="21.0" customHeight="1"/>
    <row r="327" ht="21.0" customHeight="1"/>
    <row r="328" ht="21.0" customHeight="1"/>
    <row r="329" ht="21.0" customHeight="1"/>
    <row r="330" ht="21.0" customHeight="1"/>
    <row r="331" ht="21.0" customHeight="1"/>
    <row r="332" ht="21.0" customHeight="1"/>
    <row r="333" ht="21.0" customHeight="1"/>
    <row r="334" ht="21.0" customHeight="1"/>
    <row r="335" ht="21.0" customHeight="1"/>
    <row r="336" ht="21.0" customHeight="1"/>
    <row r="337" ht="21.0" customHeight="1"/>
    <row r="338" ht="21.0" customHeight="1"/>
    <row r="339" ht="21.0" customHeight="1"/>
    <row r="340" ht="21.0" customHeight="1"/>
    <row r="341" ht="21.0" customHeight="1"/>
    <row r="342" ht="21.0" customHeight="1"/>
    <row r="343" ht="21.0" customHeight="1"/>
    <row r="344" ht="21.0" customHeight="1"/>
    <row r="345" ht="21.0" customHeight="1"/>
    <row r="346" ht="21.0" customHeight="1"/>
    <row r="347" ht="21.0" customHeight="1"/>
    <row r="348" ht="21.0" customHeight="1"/>
    <row r="349" ht="21.0" customHeight="1"/>
    <row r="350" ht="21.0" customHeight="1"/>
    <row r="351" ht="21.0" customHeight="1"/>
    <row r="352" ht="21.0" customHeight="1"/>
    <row r="353" ht="21.0" customHeight="1"/>
    <row r="354" ht="21.0" customHeight="1"/>
    <row r="355" ht="21.0" customHeight="1"/>
    <row r="356" ht="21.0" customHeight="1"/>
    <row r="357" ht="21.0" customHeight="1"/>
    <row r="358" ht="21.0" customHeight="1"/>
    <row r="359" ht="21.0" customHeight="1"/>
    <row r="360" ht="21.0" customHeight="1"/>
    <row r="361" ht="21.0" customHeight="1"/>
    <row r="362" ht="21.0" customHeight="1"/>
    <row r="363" ht="21.0" customHeight="1"/>
    <row r="364" ht="21.0" customHeight="1"/>
    <row r="365" ht="21.0" customHeight="1"/>
    <row r="366" ht="21.0" customHeight="1"/>
    <row r="367" ht="21.0" customHeight="1"/>
    <row r="368" ht="21.0" customHeight="1"/>
    <row r="369" ht="21.0" customHeight="1"/>
    <row r="370" ht="21.0" customHeight="1"/>
    <row r="371" ht="21.0" customHeight="1"/>
    <row r="372" ht="21.0" customHeight="1"/>
    <row r="373" ht="21.0" customHeight="1"/>
    <row r="374" ht="21.0" customHeight="1"/>
    <row r="375" ht="21.0" customHeight="1"/>
    <row r="376" ht="21.0" customHeight="1"/>
    <row r="377" ht="21.0" customHeight="1"/>
    <row r="378" ht="21.0" customHeight="1"/>
    <row r="379" ht="21.0" customHeight="1"/>
    <row r="380" ht="21.0" customHeight="1"/>
    <row r="381" ht="21.0" customHeight="1"/>
    <row r="382" ht="21.0" customHeight="1"/>
    <row r="383" ht="21.0" customHeight="1"/>
    <row r="384" ht="21.0" customHeight="1"/>
    <row r="385" ht="21.0" customHeight="1"/>
    <row r="386" ht="21.0" customHeight="1"/>
    <row r="387" ht="21.0" customHeight="1"/>
    <row r="388" ht="21.0" customHeight="1"/>
    <row r="389" ht="21.0" customHeight="1"/>
    <row r="390" ht="21.0" customHeight="1"/>
    <row r="391" ht="21.0" customHeight="1"/>
    <row r="392" ht="21.0" customHeight="1"/>
    <row r="393" ht="21.0" customHeight="1"/>
    <row r="394" ht="21.0" customHeight="1"/>
    <row r="395" ht="21.0" customHeight="1"/>
    <row r="396" ht="21.0" customHeight="1"/>
    <row r="397" ht="21.0" customHeight="1"/>
    <row r="398" ht="21.0" customHeight="1"/>
    <row r="399" ht="21.0" customHeight="1"/>
    <row r="400" ht="21.0" customHeight="1"/>
    <row r="401" ht="21.0" customHeight="1"/>
    <row r="402" ht="21.0" customHeight="1"/>
    <row r="403" ht="21.0" customHeight="1"/>
    <row r="404" ht="21.0" customHeight="1"/>
    <row r="405" ht="21.0" customHeight="1"/>
    <row r="406" ht="21.0" customHeight="1"/>
    <row r="407" ht="21.0" customHeight="1"/>
    <row r="408" ht="21.0" customHeight="1"/>
    <row r="409" ht="21.0" customHeight="1"/>
    <row r="410" ht="21.0" customHeight="1"/>
    <row r="411" ht="21.0" customHeight="1"/>
    <row r="412" ht="21.0" customHeight="1"/>
    <row r="413" ht="21.0" customHeight="1"/>
    <row r="414" ht="21.0" customHeight="1"/>
    <row r="415" ht="21.0" customHeight="1"/>
    <row r="416" ht="21.0" customHeight="1"/>
    <row r="417" ht="21.0" customHeight="1"/>
    <row r="418" ht="21.0" customHeight="1"/>
    <row r="419" ht="21.0" customHeight="1"/>
    <row r="420" ht="21.0" customHeight="1"/>
    <row r="421" ht="21.0" customHeight="1"/>
    <row r="422" ht="21.0" customHeight="1"/>
    <row r="423" ht="21.0" customHeight="1"/>
    <row r="424" ht="21.0" customHeight="1"/>
    <row r="425" ht="21.0" customHeight="1"/>
    <row r="426" ht="21.0" customHeight="1"/>
    <row r="427" ht="21.0" customHeight="1"/>
    <row r="428" ht="21.0" customHeight="1"/>
    <row r="429" ht="21.0" customHeight="1"/>
    <row r="430" ht="21.0" customHeight="1"/>
    <row r="431" ht="21.0" customHeight="1"/>
    <row r="432" ht="21.0" customHeight="1"/>
    <row r="433" ht="21.0" customHeight="1"/>
    <row r="434" ht="21.0" customHeight="1"/>
    <row r="435" ht="21.0" customHeight="1"/>
    <row r="436" ht="21.0" customHeight="1"/>
    <row r="437" ht="21.0" customHeight="1"/>
    <row r="438" ht="21.0" customHeight="1"/>
    <row r="439" ht="21.0" customHeight="1"/>
    <row r="440" ht="21.0" customHeight="1"/>
    <row r="441" ht="21.0" customHeight="1"/>
    <row r="442" ht="21.0" customHeight="1"/>
    <row r="443" ht="21.0" customHeight="1"/>
    <row r="444" ht="21.0" customHeight="1"/>
    <row r="445" ht="21.0" customHeight="1"/>
    <row r="446" ht="21.0" customHeight="1"/>
    <row r="447" ht="21.0" customHeight="1"/>
    <row r="448" ht="21.0" customHeight="1"/>
    <row r="449" ht="21.0" customHeight="1"/>
    <row r="450" ht="21.0" customHeight="1"/>
    <row r="451" ht="21.0" customHeight="1"/>
    <row r="452" ht="21.0" customHeight="1"/>
    <row r="453" ht="21.0" customHeight="1"/>
    <row r="454" ht="21.0" customHeight="1"/>
    <row r="455" ht="21.0" customHeight="1"/>
    <row r="456" ht="21.0" customHeight="1"/>
    <row r="457" ht="21.0" customHeight="1"/>
    <row r="458" ht="21.0" customHeight="1"/>
    <row r="459" ht="21.0" customHeight="1"/>
    <row r="460" ht="21.0" customHeight="1"/>
    <row r="461" ht="21.0" customHeight="1"/>
    <row r="462" ht="21.0" customHeight="1"/>
    <row r="463" ht="21.0" customHeight="1"/>
    <row r="464" ht="21.0" customHeight="1"/>
    <row r="465" ht="21.0" customHeight="1"/>
    <row r="466" ht="21.0" customHeight="1"/>
    <row r="467" ht="21.0" customHeight="1"/>
    <row r="468" ht="21.0" customHeight="1"/>
    <row r="469" ht="21.0" customHeight="1"/>
    <row r="470" ht="21.0" customHeight="1"/>
    <row r="471" ht="21.0" customHeight="1"/>
    <row r="472" ht="21.0" customHeight="1"/>
    <row r="473" ht="21.0" customHeight="1"/>
    <row r="474" ht="21.0" customHeight="1"/>
    <row r="475" ht="21.0" customHeight="1"/>
    <row r="476" ht="21.0" customHeight="1"/>
    <row r="477" ht="21.0" customHeight="1"/>
    <row r="478" ht="21.0" customHeight="1"/>
    <row r="479" ht="21.0" customHeight="1"/>
    <row r="480" ht="21.0" customHeight="1"/>
    <row r="481" ht="21.0" customHeight="1"/>
    <row r="482" ht="21.0" customHeight="1"/>
    <row r="483" ht="21.0" customHeight="1"/>
    <row r="484" ht="21.0" customHeight="1"/>
    <row r="485" ht="21.0" customHeight="1"/>
    <row r="486" ht="21.0" customHeight="1"/>
    <row r="487" ht="21.0" customHeight="1"/>
    <row r="488" ht="21.0" customHeight="1"/>
    <row r="489" ht="21.0" customHeight="1"/>
    <row r="490" ht="21.0" customHeight="1"/>
    <row r="491" ht="21.0" customHeight="1"/>
    <row r="492" ht="21.0" customHeight="1"/>
    <row r="493" ht="21.0" customHeight="1"/>
    <row r="494" ht="21.0" customHeight="1"/>
    <row r="495" ht="21.0" customHeight="1"/>
    <row r="496" ht="21.0" customHeight="1"/>
    <row r="497" ht="21.0" customHeight="1"/>
    <row r="498" ht="21.0" customHeight="1"/>
    <row r="499" ht="21.0" customHeight="1"/>
    <row r="500" ht="21.0" customHeight="1"/>
    <row r="501" ht="21.0" customHeight="1"/>
    <row r="502" ht="21.0" customHeight="1"/>
    <row r="503" ht="21.0" customHeight="1"/>
    <row r="504" ht="21.0" customHeight="1"/>
    <row r="505" ht="21.0" customHeight="1"/>
    <row r="506" ht="21.0" customHeight="1"/>
    <row r="507" ht="21.0" customHeight="1"/>
    <row r="508" ht="21.0" customHeight="1"/>
    <row r="509" ht="21.0" customHeight="1"/>
    <row r="510" ht="21.0" customHeight="1"/>
    <row r="511" ht="21.0" customHeight="1"/>
    <row r="512" ht="21.0" customHeight="1"/>
    <row r="513" ht="21.0" customHeight="1"/>
    <row r="514" ht="21.0" customHeight="1"/>
    <row r="515" ht="21.0" customHeight="1"/>
    <row r="516" ht="21.0" customHeight="1"/>
    <row r="517" ht="21.0" customHeight="1"/>
    <row r="518" ht="21.0" customHeight="1"/>
    <row r="519" ht="21.0" customHeight="1"/>
    <row r="520" ht="21.0" customHeight="1"/>
    <row r="521" ht="21.0" customHeight="1"/>
    <row r="522" ht="21.0" customHeight="1"/>
    <row r="523" ht="21.0" customHeight="1"/>
    <row r="524" ht="21.0" customHeight="1"/>
    <row r="525" ht="21.0" customHeight="1"/>
    <row r="526" ht="21.0" customHeight="1"/>
    <row r="527" ht="21.0" customHeight="1"/>
    <row r="528" ht="21.0" customHeight="1"/>
    <row r="529" ht="21.0" customHeight="1"/>
    <row r="530" ht="21.0" customHeight="1"/>
    <row r="531" ht="21.0" customHeight="1"/>
    <row r="532" ht="21.0" customHeight="1"/>
    <row r="533" ht="21.0" customHeight="1"/>
    <row r="534" ht="21.0" customHeight="1"/>
    <row r="535" ht="21.0" customHeight="1"/>
    <row r="536" ht="21.0" customHeight="1"/>
    <row r="537" ht="21.0" customHeight="1"/>
    <row r="538" ht="21.0" customHeight="1"/>
    <row r="539" ht="21.0" customHeight="1"/>
    <row r="540" ht="21.0" customHeight="1"/>
    <row r="541" ht="21.0" customHeight="1"/>
    <row r="542" ht="21.0" customHeight="1"/>
    <row r="543" ht="21.0" customHeight="1"/>
    <row r="544" ht="21.0" customHeight="1"/>
    <row r="545" ht="21.0" customHeight="1"/>
    <row r="546" ht="21.0" customHeight="1"/>
    <row r="547" ht="21.0" customHeight="1"/>
    <row r="548" ht="21.0" customHeight="1"/>
    <row r="549" ht="21.0" customHeight="1"/>
    <row r="550" ht="21.0" customHeight="1"/>
    <row r="551" ht="21.0" customHeight="1"/>
    <row r="552" ht="21.0" customHeight="1"/>
    <row r="553" ht="21.0" customHeight="1"/>
    <row r="554" ht="21.0" customHeight="1"/>
    <row r="555" ht="21.0" customHeight="1"/>
    <row r="556" ht="21.0" customHeight="1"/>
    <row r="557" ht="21.0" customHeight="1"/>
    <row r="558" ht="21.0" customHeight="1"/>
    <row r="559" ht="21.0" customHeight="1"/>
    <row r="560" ht="21.0" customHeight="1"/>
    <row r="561" ht="21.0" customHeight="1"/>
    <row r="562" ht="21.0" customHeight="1"/>
    <row r="563" ht="21.0" customHeight="1"/>
    <row r="564" ht="21.0" customHeight="1"/>
    <row r="565" ht="21.0" customHeight="1"/>
    <row r="566" ht="21.0" customHeight="1"/>
    <row r="567" ht="21.0" customHeight="1"/>
    <row r="568" ht="21.0" customHeight="1"/>
    <row r="569" ht="21.0" customHeight="1"/>
    <row r="570" ht="21.0" customHeight="1"/>
    <row r="571" ht="21.0" customHeight="1"/>
    <row r="572" ht="21.0" customHeight="1"/>
    <row r="573" ht="21.0" customHeight="1"/>
    <row r="574" ht="21.0" customHeight="1"/>
    <row r="575" ht="21.0" customHeight="1"/>
    <row r="576" ht="21.0" customHeight="1"/>
    <row r="577" ht="21.0" customHeight="1"/>
    <row r="578" ht="21.0" customHeight="1"/>
    <row r="579" ht="21.0" customHeight="1"/>
    <row r="580" ht="21.0" customHeight="1"/>
    <row r="581" ht="21.0" customHeight="1"/>
    <row r="582" ht="21.0" customHeight="1"/>
    <row r="583" ht="21.0" customHeight="1"/>
    <row r="584" ht="21.0" customHeight="1"/>
    <row r="585" ht="21.0" customHeight="1"/>
    <row r="586" ht="21.0" customHeight="1"/>
    <row r="587" ht="21.0" customHeight="1"/>
    <row r="588" ht="21.0" customHeight="1"/>
    <row r="589" ht="21.0" customHeight="1"/>
    <row r="590" ht="21.0" customHeight="1"/>
    <row r="591" ht="21.0" customHeight="1"/>
    <row r="592" ht="21.0" customHeight="1"/>
    <row r="593" ht="21.0" customHeight="1"/>
    <row r="594" ht="21.0" customHeight="1"/>
    <row r="595" ht="21.0" customHeight="1"/>
    <row r="596" ht="21.0" customHeight="1"/>
    <row r="597" ht="21.0" customHeight="1"/>
    <row r="598" ht="21.0" customHeight="1"/>
    <row r="599" ht="21.0" customHeight="1"/>
    <row r="600" ht="21.0" customHeight="1"/>
    <row r="601" ht="21.0" customHeight="1"/>
    <row r="602" ht="21.0" customHeight="1"/>
    <row r="603" ht="21.0" customHeight="1"/>
    <row r="604" ht="21.0" customHeight="1"/>
    <row r="605" ht="21.0" customHeight="1"/>
    <row r="606" ht="21.0" customHeight="1"/>
    <row r="607" ht="21.0" customHeight="1"/>
    <row r="608" ht="21.0" customHeight="1"/>
    <row r="609" ht="21.0" customHeight="1"/>
    <row r="610" ht="21.0" customHeight="1"/>
    <row r="611" ht="21.0" customHeight="1"/>
    <row r="612" ht="21.0" customHeight="1"/>
    <row r="613" ht="21.0" customHeight="1"/>
    <row r="614" ht="21.0" customHeight="1"/>
    <row r="615" ht="21.0" customHeight="1"/>
    <row r="616" ht="21.0" customHeight="1"/>
    <row r="617" ht="21.0" customHeight="1"/>
    <row r="618" ht="21.0" customHeight="1"/>
    <row r="619" ht="21.0" customHeight="1"/>
    <row r="620" ht="21.0" customHeight="1"/>
    <row r="621" ht="21.0" customHeight="1"/>
    <row r="622" ht="21.0" customHeight="1"/>
    <row r="623" ht="21.0" customHeight="1"/>
    <row r="624" ht="21.0" customHeight="1"/>
    <row r="625" ht="21.0" customHeight="1"/>
    <row r="626" ht="21.0" customHeight="1"/>
    <row r="627" ht="21.0" customHeight="1"/>
    <row r="628" ht="21.0" customHeight="1"/>
    <row r="629" ht="21.0" customHeight="1"/>
    <row r="630" ht="21.0" customHeight="1"/>
    <row r="631" ht="21.0" customHeight="1"/>
    <row r="632" ht="21.0" customHeight="1"/>
    <row r="633" ht="21.0" customHeight="1"/>
    <row r="634" ht="21.0" customHeight="1"/>
    <row r="635" ht="21.0" customHeight="1"/>
    <row r="636" ht="21.0" customHeight="1"/>
    <row r="637" ht="21.0" customHeight="1"/>
    <row r="638" ht="21.0" customHeight="1"/>
    <row r="639" ht="21.0" customHeight="1"/>
    <row r="640" ht="21.0" customHeight="1"/>
    <row r="641" ht="21.0" customHeight="1"/>
    <row r="642" ht="21.0" customHeight="1"/>
    <row r="643" ht="21.0" customHeight="1"/>
    <row r="644" ht="21.0" customHeight="1"/>
    <row r="645" ht="21.0" customHeight="1"/>
    <row r="646" ht="21.0" customHeight="1"/>
    <row r="647" ht="21.0" customHeight="1"/>
    <row r="648" ht="21.0" customHeight="1"/>
    <row r="649" ht="21.0" customHeight="1"/>
    <row r="650" ht="21.0" customHeight="1"/>
    <row r="651" ht="21.0" customHeight="1"/>
    <row r="652" ht="21.0" customHeight="1"/>
    <row r="653" ht="21.0" customHeight="1"/>
    <row r="654" ht="21.0" customHeight="1"/>
    <row r="655" ht="21.0" customHeight="1"/>
    <row r="656" ht="21.0" customHeight="1"/>
    <row r="657" ht="21.0" customHeight="1"/>
    <row r="658" ht="21.0" customHeight="1"/>
    <row r="659" ht="21.0" customHeight="1"/>
    <row r="660" ht="21.0" customHeight="1"/>
    <row r="661" ht="21.0" customHeight="1"/>
    <row r="662" ht="21.0" customHeight="1"/>
    <row r="663" ht="21.0" customHeight="1"/>
    <row r="664" ht="21.0" customHeight="1"/>
    <row r="665" ht="21.0" customHeight="1"/>
    <row r="666" ht="21.0" customHeight="1"/>
    <row r="667" ht="21.0" customHeight="1"/>
    <row r="668" ht="21.0" customHeight="1"/>
    <row r="669" ht="21.0" customHeight="1"/>
    <row r="670" ht="21.0" customHeight="1"/>
    <row r="671" ht="21.0" customHeight="1"/>
    <row r="672" ht="21.0" customHeight="1"/>
    <row r="673" ht="21.0" customHeight="1"/>
    <row r="674" ht="21.0" customHeight="1"/>
    <row r="675" ht="21.0" customHeight="1"/>
    <row r="676" ht="21.0" customHeight="1"/>
    <row r="677" ht="21.0" customHeight="1"/>
    <row r="678" ht="21.0" customHeight="1"/>
    <row r="679" ht="21.0" customHeight="1"/>
    <row r="680" ht="21.0" customHeight="1"/>
    <row r="681" ht="21.0" customHeight="1"/>
    <row r="682" ht="21.0" customHeight="1"/>
    <row r="683" ht="21.0" customHeight="1"/>
    <row r="684" ht="21.0" customHeight="1"/>
    <row r="685" ht="21.0" customHeight="1"/>
    <row r="686" ht="21.0" customHeight="1"/>
    <row r="687" ht="21.0" customHeight="1"/>
    <row r="688" ht="21.0" customHeight="1"/>
    <row r="689" ht="21.0" customHeight="1"/>
    <row r="690" ht="21.0" customHeight="1"/>
    <row r="691" ht="21.0" customHeight="1"/>
    <row r="692" ht="21.0" customHeight="1"/>
    <row r="693" ht="21.0" customHeight="1"/>
    <row r="694" ht="21.0" customHeight="1"/>
    <row r="695" ht="21.0" customHeight="1"/>
    <row r="696" ht="21.0" customHeight="1"/>
    <row r="697" ht="21.0" customHeight="1"/>
    <row r="698" ht="21.0" customHeight="1"/>
    <row r="699" ht="21.0" customHeight="1"/>
    <row r="700" ht="21.0" customHeight="1"/>
    <row r="701" ht="21.0" customHeight="1"/>
    <row r="702" ht="21.0" customHeight="1"/>
    <row r="703" ht="21.0" customHeight="1"/>
    <row r="704" ht="21.0" customHeight="1"/>
    <row r="705" ht="21.0" customHeight="1"/>
    <row r="706" ht="21.0" customHeight="1"/>
    <row r="707" ht="21.0" customHeight="1"/>
    <row r="708" ht="21.0" customHeight="1"/>
    <row r="709" ht="21.0" customHeight="1"/>
    <row r="710" ht="21.0" customHeight="1"/>
    <row r="711" ht="21.0" customHeight="1"/>
    <row r="712" ht="21.0" customHeight="1"/>
    <row r="713" ht="21.0" customHeight="1"/>
    <row r="714" ht="21.0" customHeight="1"/>
    <row r="715" ht="21.0" customHeight="1"/>
    <row r="716" ht="21.0" customHeight="1"/>
    <row r="717" ht="21.0" customHeight="1"/>
    <row r="718" ht="21.0" customHeight="1"/>
    <row r="719" ht="21.0" customHeight="1"/>
    <row r="720" ht="21.0" customHeight="1"/>
    <row r="721" ht="21.0" customHeight="1"/>
    <row r="722" ht="21.0" customHeight="1"/>
    <row r="723" ht="21.0" customHeight="1"/>
    <row r="724" ht="21.0" customHeight="1"/>
    <row r="725" ht="21.0" customHeight="1"/>
    <row r="726" ht="21.0" customHeight="1"/>
    <row r="727" ht="21.0" customHeight="1"/>
    <row r="728" ht="21.0" customHeight="1"/>
    <row r="729" ht="21.0" customHeight="1"/>
    <row r="730" ht="21.0" customHeight="1"/>
    <row r="731" ht="21.0" customHeight="1"/>
    <row r="732" ht="21.0" customHeight="1"/>
    <row r="733" ht="21.0" customHeight="1"/>
    <row r="734" ht="21.0" customHeight="1"/>
    <row r="735" ht="21.0" customHeight="1"/>
    <row r="736" ht="21.0" customHeight="1"/>
    <row r="737" ht="21.0" customHeight="1"/>
    <row r="738" ht="21.0" customHeight="1"/>
    <row r="739" ht="21.0" customHeight="1"/>
    <row r="740" ht="21.0" customHeight="1"/>
    <row r="741" ht="21.0" customHeight="1"/>
    <row r="742" ht="21.0" customHeight="1"/>
    <row r="743" ht="21.0" customHeight="1"/>
    <row r="744" ht="21.0" customHeight="1"/>
    <row r="745" ht="21.0" customHeight="1"/>
    <row r="746" ht="21.0" customHeight="1"/>
    <row r="747" ht="21.0" customHeight="1"/>
    <row r="748" ht="21.0" customHeight="1"/>
    <row r="749" ht="21.0" customHeight="1"/>
    <row r="750" ht="21.0" customHeight="1"/>
    <row r="751" ht="21.0" customHeight="1"/>
    <row r="752" ht="21.0" customHeight="1"/>
    <row r="753" ht="21.0" customHeight="1"/>
    <row r="754" ht="21.0" customHeight="1"/>
    <row r="755" ht="21.0" customHeight="1"/>
    <row r="756" ht="21.0" customHeight="1"/>
    <row r="757" ht="21.0" customHeight="1"/>
    <row r="758" ht="21.0" customHeight="1"/>
    <row r="759" ht="21.0" customHeight="1"/>
    <row r="760" ht="21.0" customHeight="1"/>
    <row r="761" ht="21.0" customHeight="1"/>
    <row r="762" ht="21.0" customHeight="1"/>
    <row r="763" ht="21.0" customHeight="1"/>
    <row r="764" ht="21.0" customHeight="1"/>
    <row r="765" ht="21.0" customHeight="1"/>
    <row r="766" ht="21.0" customHeight="1"/>
    <row r="767" ht="21.0" customHeight="1"/>
    <row r="768" ht="21.0" customHeight="1"/>
    <row r="769" ht="21.0" customHeight="1"/>
    <row r="770" ht="21.0" customHeight="1"/>
    <row r="771" ht="21.0" customHeight="1"/>
    <row r="772" ht="21.0" customHeight="1"/>
    <row r="773" ht="21.0" customHeight="1"/>
    <row r="774" ht="21.0" customHeight="1"/>
    <row r="775" ht="21.0" customHeight="1"/>
    <row r="776" ht="21.0" customHeight="1"/>
    <row r="777" ht="21.0" customHeight="1"/>
    <row r="778" ht="21.0" customHeight="1"/>
    <row r="779" ht="21.0" customHeight="1"/>
    <row r="780" ht="21.0" customHeight="1"/>
    <row r="781" ht="21.0" customHeight="1"/>
    <row r="782" ht="21.0" customHeight="1"/>
    <row r="783" ht="21.0" customHeight="1"/>
    <row r="784" ht="21.0" customHeight="1"/>
    <row r="785" ht="21.0" customHeight="1"/>
    <row r="786" ht="21.0" customHeight="1"/>
    <row r="787" ht="21.0" customHeight="1"/>
    <row r="788" ht="21.0" customHeight="1"/>
    <row r="789" ht="21.0" customHeight="1"/>
    <row r="790" ht="21.0" customHeight="1"/>
    <row r="791" ht="21.0" customHeight="1"/>
    <row r="792" ht="21.0" customHeight="1"/>
    <row r="793" ht="21.0" customHeight="1"/>
    <row r="794" ht="21.0" customHeight="1"/>
    <row r="795" ht="21.0" customHeight="1"/>
    <row r="796" ht="21.0" customHeight="1"/>
    <row r="797" ht="21.0" customHeight="1"/>
    <row r="798" ht="21.0" customHeight="1"/>
    <row r="799" ht="21.0" customHeight="1"/>
    <row r="800" ht="21.0" customHeight="1"/>
    <row r="801" ht="21.0" customHeight="1"/>
    <row r="802" ht="21.0" customHeight="1"/>
    <row r="803" ht="21.0" customHeight="1"/>
    <row r="804" ht="21.0" customHeight="1"/>
    <row r="805" ht="21.0" customHeight="1"/>
    <row r="806" ht="21.0" customHeight="1"/>
    <row r="807" ht="21.0" customHeight="1"/>
    <row r="808" ht="21.0" customHeight="1"/>
    <row r="809" ht="21.0" customHeight="1"/>
    <row r="810" ht="21.0" customHeight="1"/>
    <row r="811" ht="21.0" customHeight="1"/>
    <row r="812" ht="21.0" customHeight="1"/>
    <row r="813" ht="21.0" customHeight="1"/>
    <row r="814" ht="21.0" customHeight="1"/>
    <row r="815" ht="21.0" customHeight="1"/>
    <row r="816" ht="21.0" customHeight="1"/>
    <row r="817" ht="21.0" customHeight="1"/>
    <row r="818" ht="21.0" customHeight="1"/>
    <row r="819" ht="21.0" customHeight="1"/>
    <row r="820" ht="21.0" customHeight="1"/>
    <row r="821" ht="21.0" customHeight="1"/>
    <row r="822" ht="21.0" customHeight="1"/>
    <row r="823" ht="21.0" customHeight="1"/>
    <row r="824" ht="21.0" customHeight="1"/>
    <row r="825" ht="21.0" customHeight="1"/>
    <row r="826" ht="21.0" customHeight="1"/>
    <row r="827" ht="21.0" customHeight="1"/>
    <row r="828" ht="21.0" customHeight="1"/>
    <row r="829" ht="21.0" customHeight="1"/>
    <row r="830" ht="21.0" customHeight="1"/>
    <row r="831" ht="21.0" customHeight="1"/>
    <row r="832" ht="21.0" customHeight="1"/>
    <row r="833" ht="21.0" customHeight="1"/>
    <row r="834" ht="21.0" customHeight="1"/>
    <row r="835" ht="21.0" customHeight="1"/>
    <row r="836" ht="21.0" customHeight="1"/>
    <row r="837" ht="21.0" customHeight="1"/>
    <row r="838" ht="21.0" customHeight="1"/>
    <row r="839" ht="21.0" customHeight="1"/>
    <row r="840" ht="21.0" customHeight="1"/>
    <row r="841" ht="21.0" customHeight="1"/>
    <row r="842" ht="21.0" customHeight="1"/>
    <row r="843" ht="21.0" customHeight="1"/>
    <row r="844" ht="21.0" customHeight="1"/>
    <row r="845" ht="21.0" customHeight="1"/>
    <row r="846" ht="21.0" customHeight="1"/>
    <row r="847" ht="21.0" customHeight="1"/>
    <row r="848" ht="21.0" customHeight="1"/>
    <row r="849" ht="21.0" customHeight="1"/>
    <row r="850" ht="21.0" customHeight="1"/>
    <row r="851" ht="21.0" customHeight="1"/>
    <row r="852" ht="21.0" customHeight="1"/>
    <row r="853" ht="21.0" customHeight="1"/>
    <row r="854" ht="21.0" customHeight="1"/>
    <row r="855" ht="21.0" customHeight="1"/>
    <row r="856" ht="21.0" customHeight="1"/>
    <row r="857" ht="21.0" customHeight="1"/>
    <row r="858" ht="21.0" customHeight="1"/>
    <row r="859" ht="21.0" customHeight="1"/>
    <row r="860" ht="21.0" customHeight="1"/>
    <row r="861" ht="21.0" customHeight="1"/>
    <row r="862" ht="21.0" customHeight="1"/>
    <row r="863" ht="21.0" customHeight="1"/>
    <row r="864" ht="21.0" customHeight="1"/>
    <row r="865" ht="21.0" customHeight="1"/>
    <row r="866" ht="21.0" customHeight="1"/>
    <row r="867" ht="21.0" customHeight="1"/>
    <row r="868" ht="21.0" customHeight="1"/>
    <row r="869" ht="21.0" customHeight="1"/>
    <row r="870" ht="21.0" customHeight="1"/>
    <row r="871" ht="21.0" customHeight="1"/>
    <row r="872" ht="21.0" customHeight="1"/>
    <row r="873" ht="21.0" customHeight="1"/>
    <row r="874" ht="21.0" customHeight="1"/>
    <row r="875" ht="21.0" customHeight="1"/>
    <row r="876" ht="21.0" customHeight="1"/>
    <row r="877" ht="21.0" customHeight="1"/>
    <row r="878" ht="21.0" customHeight="1"/>
    <row r="879" ht="21.0" customHeight="1"/>
    <row r="880" ht="21.0" customHeight="1"/>
    <row r="881" ht="21.0" customHeight="1"/>
    <row r="882" ht="21.0" customHeight="1"/>
    <row r="883" ht="21.0" customHeight="1"/>
    <row r="884" ht="21.0" customHeight="1"/>
    <row r="885" ht="21.0" customHeight="1"/>
    <row r="886" ht="21.0" customHeight="1"/>
    <row r="887" ht="21.0" customHeight="1"/>
    <row r="888" ht="21.0" customHeight="1"/>
    <row r="889" ht="21.0" customHeight="1"/>
    <row r="890" ht="21.0" customHeight="1"/>
    <row r="891" ht="21.0" customHeight="1"/>
    <row r="892" ht="21.0" customHeight="1"/>
    <row r="893" ht="21.0" customHeight="1"/>
    <row r="894" ht="21.0" customHeight="1"/>
    <row r="895" ht="21.0" customHeight="1"/>
    <row r="896" ht="21.0" customHeight="1"/>
    <row r="897" ht="21.0" customHeight="1"/>
    <row r="898" ht="21.0" customHeight="1"/>
    <row r="899" ht="21.0" customHeight="1"/>
    <row r="900" ht="21.0" customHeight="1"/>
    <row r="901" ht="21.0" customHeight="1"/>
    <row r="902" ht="21.0" customHeight="1"/>
    <row r="903" ht="21.0" customHeight="1"/>
    <row r="904" ht="21.0" customHeight="1"/>
    <row r="905" ht="21.0" customHeight="1"/>
    <row r="906" ht="21.0" customHeight="1"/>
    <row r="907" ht="21.0" customHeight="1"/>
    <row r="908" ht="21.0" customHeight="1"/>
    <row r="909" ht="21.0" customHeight="1"/>
    <row r="910" ht="21.0" customHeight="1"/>
    <row r="911" ht="21.0" customHeight="1"/>
    <row r="912" ht="21.0" customHeight="1"/>
    <row r="913" ht="21.0" customHeight="1"/>
    <row r="914" ht="21.0" customHeight="1"/>
    <row r="915" ht="21.0" customHeight="1"/>
    <row r="916" ht="21.0" customHeight="1"/>
    <row r="917" ht="21.0" customHeight="1"/>
    <row r="918" ht="21.0" customHeight="1"/>
    <row r="919" ht="21.0" customHeight="1"/>
    <row r="920" ht="21.0" customHeight="1"/>
    <row r="921" ht="21.0" customHeight="1"/>
    <row r="922" ht="21.0" customHeight="1"/>
    <row r="923" ht="21.0" customHeight="1"/>
    <row r="924" ht="21.0" customHeight="1"/>
    <row r="925" ht="21.0" customHeight="1"/>
    <row r="926" ht="21.0" customHeight="1"/>
    <row r="927" ht="21.0" customHeight="1"/>
    <row r="928" ht="21.0" customHeight="1"/>
    <row r="929" ht="21.0" customHeight="1"/>
    <row r="930" ht="21.0" customHeight="1"/>
    <row r="931" ht="21.0" customHeight="1"/>
    <row r="932" ht="21.0" customHeight="1"/>
    <row r="933" ht="21.0" customHeight="1"/>
    <row r="934" ht="21.0" customHeight="1"/>
    <row r="935" ht="21.0" customHeight="1"/>
    <row r="936" ht="21.0" customHeight="1"/>
    <row r="937" ht="21.0" customHeight="1"/>
    <row r="938" ht="21.0" customHeight="1"/>
    <row r="939" ht="21.0" customHeight="1"/>
    <row r="940" ht="21.0" customHeight="1"/>
    <row r="941" ht="21.0" customHeight="1"/>
    <row r="942" ht="21.0" customHeight="1"/>
    <row r="943" ht="21.0" customHeight="1"/>
    <row r="944" ht="21.0" customHeight="1"/>
    <row r="945" ht="21.0" customHeight="1"/>
    <row r="946" ht="21.0" customHeight="1"/>
    <row r="947" ht="21.0" customHeight="1"/>
    <row r="948" ht="21.0" customHeight="1"/>
    <row r="949" ht="21.0" customHeight="1"/>
    <row r="950" ht="21.0" customHeight="1"/>
    <row r="951" ht="21.0" customHeight="1"/>
    <row r="952" ht="21.0" customHeight="1"/>
    <row r="953" ht="21.0" customHeight="1"/>
    <row r="954" ht="21.0" customHeight="1"/>
    <row r="955" ht="21.0" customHeight="1"/>
    <row r="956" ht="21.0" customHeight="1"/>
    <row r="957" ht="21.0" customHeight="1"/>
    <row r="958" ht="21.0" customHeight="1"/>
    <row r="959" ht="21.0" customHeight="1"/>
    <row r="960" ht="21.0" customHeight="1"/>
    <row r="961" ht="21.0" customHeight="1"/>
    <row r="962" ht="21.0" customHeight="1"/>
    <row r="963" ht="21.0" customHeight="1"/>
    <row r="964" ht="21.0" customHeight="1"/>
    <row r="965" ht="21.0" customHeight="1"/>
    <row r="966" ht="21.0" customHeight="1"/>
    <row r="967" ht="21.0" customHeight="1"/>
    <row r="968" ht="21.0" customHeight="1"/>
    <row r="969" ht="21.0" customHeight="1"/>
    <row r="970" ht="21.0" customHeight="1"/>
    <row r="971" ht="21.0" customHeight="1"/>
    <row r="972" ht="21.0" customHeight="1"/>
    <row r="973" ht="21.0" customHeight="1"/>
    <row r="974" ht="21.0" customHeight="1"/>
    <row r="975" ht="21.0" customHeight="1"/>
    <row r="976" ht="21.0" customHeight="1"/>
    <row r="977" ht="21.0" customHeight="1"/>
    <row r="978" ht="21.0" customHeight="1"/>
    <row r="979" ht="21.0" customHeight="1"/>
    <row r="980" ht="21.0" customHeight="1"/>
    <row r="981" ht="21.0" customHeight="1"/>
    <row r="982" ht="21.0" customHeight="1"/>
    <row r="983" ht="21.0" customHeight="1"/>
    <row r="984" ht="21.0" customHeight="1"/>
    <row r="985" ht="21.0" customHeight="1"/>
    <row r="986" ht="21.0" customHeight="1"/>
    <row r="987" ht="21.0" customHeight="1"/>
    <row r="988" ht="21.0" customHeight="1"/>
    <row r="989" ht="21.0" customHeight="1"/>
    <row r="990" ht="21.0" customHeight="1"/>
    <row r="991" ht="21.0" customHeight="1"/>
    <row r="992" ht="21.0" customHeight="1"/>
    <row r="993" ht="21.0" customHeight="1"/>
    <row r="994" ht="21.0" customHeight="1"/>
    <row r="995" ht="21.0" customHeight="1"/>
    <row r="996" ht="21.0" customHeight="1"/>
    <row r="997" ht="21.0" customHeight="1"/>
    <row r="998" ht="21.0" customHeight="1"/>
    <row r="999" ht="21.0" customHeight="1"/>
    <row r="1000" ht="21.0" customHeight="1"/>
  </sheetData>
  <mergeCells count="2">
    <mergeCell ref="A3:A14"/>
    <mergeCell ref="A15:A26"/>
  </mergeCells>
  <drawing r:id="rId1"/>
</worksheet>
</file>